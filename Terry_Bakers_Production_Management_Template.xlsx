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68F6FD91-3D57-2D41-B2DF-99314B7C34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shboard" sheetId="1" r:id="rId1"/>
    <sheet name="Ingredients In(Purchases)" sheetId="2" r:id="rId2"/>
    <sheet name="Ingredients Used" sheetId="3" r:id="rId3"/>
    <sheet name="Production" sheetId="4" r:id="rId4"/>
    <sheet name="Sales" sheetId="5" r:id="rId5"/>
    <sheet name="Cake Balance" sheetId="6" r:id="rId6"/>
    <sheet name="Ingredients Balances" sheetId="7" r:id="rId7"/>
    <sheet name="Worker Production" sheetId="8" r:id="rId8"/>
    <sheet name="Sales Returns" sheetId="9" r:id="rId9"/>
    <sheet name="Sales Damages" sheetId="10" r:id="rId10"/>
    <sheet name="Customer Management" sheetId="11" r:id="rId11"/>
    <sheet name="Daily Profit" sheetId="12" r:id="rId12"/>
    <sheet name="Inventory Summary" sheetId="13" r:id="rId13"/>
  </sheets>
  <definedNames>
    <definedName name="_xlnm.Print_Area" localSheetId="0">Dashboard!$A$1:$N$42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13" l="1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I366" i="12"/>
  <c r="D366" i="12"/>
  <c r="J366" i="12"/>
  <c r="H366" i="12"/>
  <c r="I365" i="12"/>
  <c r="D365" i="12"/>
  <c r="J365" i="12"/>
  <c r="H365" i="12"/>
  <c r="I364" i="12"/>
  <c r="D364" i="12"/>
  <c r="J364" i="12"/>
  <c r="H364" i="12"/>
  <c r="I363" i="12"/>
  <c r="D363" i="12"/>
  <c r="J363" i="12"/>
  <c r="H363" i="12"/>
  <c r="I362" i="12"/>
  <c r="D362" i="12"/>
  <c r="J362" i="12"/>
  <c r="H362" i="12"/>
  <c r="I361" i="12"/>
  <c r="D361" i="12"/>
  <c r="J361" i="12"/>
  <c r="H361" i="12"/>
  <c r="I360" i="12"/>
  <c r="D360" i="12"/>
  <c r="J360" i="12"/>
  <c r="H360" i="12"/>
  <c r="I359" i="12"/>
  <c r="D359" i="12"/>
  <c r="J359" i="12"/>
  <c r="H359" i="12"/>
  <c r="I358" i="12"/>
  <c r="D358" i="12"/>
  <c r="J358" i="12"/>
  <c r="H358" i="12"/>
  <c r="I357" i="12"/>
  <c r="D357" i="12"/>
  <c r="J357" i="12"/>
  <c r="H357" i="12"/>
  <c r="I356" i="12"/>
  <c r="D356" i="12"/>
  <c r="J356" i="12"/>
  <c r="H356" i="12"/>
  <c r="I355" i="12"/>
  <c r="D355" i="12"/>
  <c r="J355" i="12"/>
  <c r="H355" i="12"/>
  <c r="I354" i="12"/>
  <c r="D354" i="12"/>
  <c r="J354" i="12"/>
  <c r="H354" i="12"/>
  <c r="I353" i="12"/>
  <c r="D353" i="12"/>
  <c r="J353" i="12"/>
  <c r="H353" i="12"/>
  <c r="I352" i="12"/>
  <c r="D352" i="12"/>
  <c r="J352" i="12"/>
  <c r="H352" i="12"/>
  <c r="I351" i="12"/>
  <c r="D351" i="12"/>
  <c r="J351" i="12"/>
  <c r="H351" i="12"/>
  <c r="I350" i="12"/>
  <c r="D350" i="12"/>
  <c r="J350" i="12"/>
  <c r="H350" i="12"/>
  <c r="I349" i="12"/>
  <c r="D349" i="12"/>
  <c r="J349" i="12"/>
  <c r="H349" i="12"/>
  <c r="I348" i="12"/>
  <c r="D348" i="12"/>
  <c r="J348" i="12"/>
  <c r="H348" i="12"/>
  <c r="I347" i="12"/>
  <c r="D347" i="12"/>
  <c r="J347" i="12"/>
  <c r="H347" i="12"/>
  <c r="I346" i="12"/>
  <c r="D346" i="12"/>
  <c r="J346" i="12"/>
  <c r="H346" i="12"/>
  <c r="I345" i="12"/>
  <c r="D345" i="12"/>
  <c r="J345" i="12"/>
  <c r="H345" i="12"/>
  <c r="I344" i="12"/>
  <c r="D344" i="12"/>
  <c r="J344" i="12"/>
  <c r="H344" i="12"/>
  <c r="I343" i="12"/>
  <c r="D343" i="12"/>
  <c r="J343" i="12"/>
  <c r="H343" i="12"/>
  <c r="I342" i="12"/>
  <c r="D342" i="12"/>
  <c r="J342" i="12"/>
  <c r="H342" i="12"/>
  <c r="I341" i="12"/>
  <c r="D341" i="12"/>
  <c r="J341" i="12"/>
  <c r="H341" i="12"/>
  <c r="I340" i="12"/>
  <c r="D340" i="12"/>
  <c r="J340" i="12"/>
  <c r="H340" i="12"/>
  <c r="I339" i="12"/>
  <c r="D339" i="12"/>
  <c r="J339" i="12"/>
  <c r="H339" i="12"/>
  <c r="I338" i="12"/>
  <c r="D338" i="12"/>
  <c r="J338" i="12"/>
  <c r="H338" i="12"/>
  <c r="I337" i="12"/>
  <c r="D337" i="12"/>
  <c r="J337" i="12"/>
  <c r="H337" i="12"/>
  <c r="I336" i="12"/>
  <c r="D336" i="12"/>
  <c r="J336" i="12"/>
  <c r="H336" i="12"/>
  <c r="I335" i="12"/>
  <c r="D335" i="12"/>
  <c r="J335" i="12"/>
  <c r="H335" i="12"/>
  <c r="I334" i="12"/>
  <c r="D334" i="12"/>
  <c r="J334" i="12"/>
  <c r="H334" i="12"/>
  <c r="I333" i="12"/>
  <c r="D333" i="12"/>
  <c r="J333" i="12"/>
  <c r="H333" i="12"/>
  <c r="I332" i="12"/>
  <c r="D332" i="12"/>
  <c r="J332" i="12"/>
  <c r="H332" i="12"/>
  <c r="I331" i="12"/>
  <c r="D331" i="12"/>
  <c r="J331" i="12"/>
  <c r="H331" i="12"/>
  <c r="I330" i="12"/>
  <c r="D330" i="12"/>
  <c r="J330" i="12"/>
  <c r="H330" i="12"/>
  <c r="I329" i="12"/>
  <c r="D329" i="12"/>
  <c r="J329" i="12"/>
  <c r="H329" i="12"/>
  <c r="I328" i="12"/>
  <c r="D328" i="12"/>
  <c r="J328" i="12"/>
  <c r="H328" i="12"/>
  <c r="I327" i="12"/>
  <c r="D327" i="12"/>
  <c r="J327" i="12"/>
  <c r="H327" i="12"/>
  <c r="I326" i="12"/>
  <c r="D326" i="12"/>
  <c r="J326" i="12"/>
  <c r="H326" i="12"/>
  <c r="I325" i="12"/>
  <c r="D325" i="12"/>
  <c r="J325" i="12"/>
  <c r="H325" i="12"/>
  <c r="I324" i="12"/>
  <c r="D324" i="12"/>
  <c r="J324" i="12"/>
  <c r="H324" i="12"/>
  <c r="I323" i="12"/>
  <c r="D323" i="12"/>
  <c r="J323" i="12"/>
  <c r="H323" i="12"/>
  <c r="I322" i="12"/>
  <c r="D322" i="12"/>
  <c r="J322" i="12"/>
  <c r="H322" i="12"/>
  <c r="I321" i="12"/>
  <c r="D321" i="12"/>
  <c r="J321" i="12"/>
  <c r="H321" i="12"/>
  <c r="I320" i="12"/>
  <c r="D320" i="12"/>
  <c r="J320" i="12"/>
  <c r="H320" i="12"/>
  <c r="I319" i="12"/>
  <c r="D319" i="12"/>
  <c r="J319" i="12"/>
  <c r="H319" i="12"/>
  <c r="I318" i="12"/>
  <c r="D318" i="12"/>
  <c r="J318" i="12"/>
  <c r="H318" i="12"/>
  <c r="I317" i="12"/>
  <c r="D317" i="12"/>
  <c r="J317" i="12"/>
  <c r="H317" i="12"/>
  <c r="I316" i="12"/>
  <c r="D316" i="12"/>
  <c r="J316" i="12"/>
  <c r="H316" i="12"/>
  <c r="I315" i="12"/>
  <c r="D315" i="12"/>
  <c r="J315" i="12"/>
  <c r="H315" i="12"/>
  <c r="I314" i="12"/>
  <c r="D314" i="12"/>
  <c r="J314" i="12"/>
  <c r="H314" i="12"/>
  <c r="I313" i="12"/>
  <c r="D313" i="12"/>
  <c r="J313" i="12"/>
  <c r="H313" i="12"/>
  <c r="I312" i="12"/>
  <c r="D312" i="12"/>
  <c r="J312" i="12"/>
  <c r="H312" i="12"/>
  <c r="I311" i="12"/>
  <c r="D311" i="12"/>
  <c r="J311" i="12"/>
  <c r="H311" i="12"/>
  <c r="I310" i="12"/>
  <c r="D310" i="12"/>
  <c r="J310" i="12"/>
  <c r="H310" i="12"/>
  <c r="I309" i="12"/>
  <c r="D309" i="12"/>
  <c r="J309" i="12"/>
  <c r="H309" i="12"/>
  <c r="I308" i="12"/>
  <c r="D308" i="12"/>
  <c r="J308" i="12"/>
  <c r="H308" i="12"/>
  <c r="I307" i="12"/>
  <c r="D307" i="12"/>
  <c r="J307" i="12"/>
  <c r="H307" i="12"/>
  <c r="I306" i="12"/>
  <c r="D306" i="12"/>
  <c r="J306" i="12"/>
  <c r="H306" i="12"/>
  <c r="I305" i="12"/>
  <c r="D305" i="12"/>
  <c r="J305" i="12"/>
  <c r="H305" i="12"/>
  <c r="I304" i="12"/>
  <c r="D304" i="12"/>
  <c r="J304" i="12"/>
  <c r="H304" i="12"/>
  <c r="I303" i="12"/>
  <c r="D303" i="12"/>
  <c r="J303" i="12"/>
  <c r="H303" i="12"/>
  <c r="I302" i="12"/>
  <c r="D302" i="12"/>
  <c r="J302" i="12"/>
  <c r="H302" i="12"/>
  <c r="I301" i="12"/>
  <c r="D301" i="12"/>
  <c r="J301" i="12"/>
  <c r="H301" i="12"/>
  <c r="I300" i="12"/>
  <c r="D300" i="12"/>
  <c r="J300" i="12"/>
  <c r="H300" i="12"/>
  <c r="I299" i="12"/>
  <c r="D299" i="12"/>
  <c r="J299" i="12"/>
  <c r="H299" i="12"/>
  <c r="I298" i="12"/>
  <c r="D298" i="12"/>
  <c r="J298" i="12"/>
  <c r="H298" i="12"/>
  <c r="I297" i="12"/>
  <c r="D297" i="12"/>
  <c r="J297" i="12"/>
  <c r="H297" i="12"/>
  <c r="I296" i="12"/>
  <c r="D296" i="12"/>
  <c r="J296" i="12"/>
  <c r="H296" i="12"/>
  <c r="I295" i="12"/>
  <c r="D295" i="12"/>
  <c r="J295" i="12"/>
  <c r="H295" i="12"/>
  <c r="I294" i="12"/>
  <c r="D294" i="12"/>
  <c r="J294" i="12"/>
  <c r="H294" i="12"/>
  <c r="I293" i="12"/>
  <c r="D293" i="12"/>
  <c r="J293" i="12"/>
  <c r="H293" i="12"/>
  <c r="I292" i="12"/>
  <c r="D292" i="12"/>
  <c r="J292" i="12"/>
  <c r="H292" i="12"/>
  <c r="I291" i="12"/>
  <c r="D291" i="12"/>
  <c r="J291" i="12"/>
  <c r="H291" i="12"/>
  <c r="I290" i="12"/>
  <c r="D290" i="12"/>
  <c r="J290" i="12"/>
  <c r="H290" i="12"/>
  <c r="I289" i="12"/>
  <c r="D289" i="12"/>
  <c r="J289" i="12"/>
  <c r="H289" i="12"/>
  <c r="I288" i="12"/>
  <c r="D288" i="12"/>
  <c r="J288" i="12"/>
  <c r="H288" i="12"/>
  <c r="I287" i="12"/>
  <c r="D287" i="12"/>
  <c r="J287" i="12"/>
  <c r="H287" i="12"/>
  <c r="I286" i="12"/>
  <c r="D286" i="12"/>
  <c r="J286" i="12"/>
  <c r="H286" i="12"/>
  <c r="I285" i="12"/>
  <c r="D285" i="12"/>
  <c r="J285" i="12"/>
  <c r="H285" i="12"/>
  <c r="I284" i="12"/>
  <c r="D284" i="12"/>
  <c r="J284" i="12"/>
  <c r="H284" i="12"/>
  <c r="I283" i="12"/>
  <c r="D283" i="12"/>
  <c r="J283" i="12"/>
  <c r="H283" i="12"/>
  <c r="I282" i="12"/>
  <c r="D282" i="12"/>
  <c r="J282" i="12"/>
  <c r="H282" i="12"/>
  <c r="I281" i="12"/>
  <c r="D281" i="12"/>
  <c r="J281" i="12"/>
  <c r="H281" i="12"/>
  <c r="I280" i="12"/>
  <c r="D280" i="12"/>
  <c r="J280" i="12"/>
  <c r="H280" i="12"/>
  <c r="I279" i="12"/>
  <c r="D279" i="12"/>
  <c r="J279" i="12"/>
  <c r="H279" i="12"/>
  <c r="I278" i="12"/>
  <c r="D278" i="12"/>
  <c r="J278" i="12"/>
  <c r="H278" i="12"/>
  <c r="I277" i="12"/>
  <c r="D277" i="12"/>
  <c r="J277" i="12"/>
  <c r="H277" i="12"/>
  <c r="I276" i="12"/>
  <c r="D276" i="12"/>
  <c r="J276" i="12"/>
  <c r="H276" i="12"/>
  <c r="I275" i="12"/>
  <c r="D275" i="12"/>
  <c r="J275" i="12"/>
  <c r="H275" i="12"/>
  <c r="I274" i="12"/>
  <c r="D274" i="12"/>
  <c r="J274" i="12"/>
  <c r="H274" i="12"/>
  <c r="I273" i="12"/>
  <c r="D273" i="12"/>
  <c r="J273" i="12"/>
  <c r="H273" i="12"/>
  <c r="I272" i="12"/>
  <c r="D272" i="12"/>
  <c r="J272" i="12"/>
  <c r="H272" i="12"/>
  <c r="I271" i="12"/>
  <c r="D271" i="12"/>
  <c r="J271" i="12"/>
  <c r="H271" i="12"/>
  <c r="I270" i="12"/>
  <c r="D270" i="12"/>
  <c r="J270" i="12"/>
  <c r="H270" i="12"/>
  <c r="I269" i="12"/>
  <c r="D269" i="12"/>
  <c r="J269" i="12"/>
  <c r="H269" i="12"/>
  <c r="I268" i="12"/>
  <c r="D268" i="12"/>
  <c r="J268" i="12"/>
  <c r="H268" i="12"/>
  <c r="I267" i="12"/>
  <c r="D267" i="12"/>
  <c r="J267" i="12"/>
  <c r="H267" i="12"/>
  <c r="I266" i="12"/>
  <c r="D266" i="12"/>
  <c r="J266" i="12"/>
  <c r="H266" i="12"/>
  <c r="I265" i="12"/>
  <c r="D265" i="12"/>
  <c r="J265" i="12"/>
  <c r="H265" i="12"/>
  <c r="I264" i="12"/>
  <c r="D264" i="12"/>
  <c r="J264" i="12"/>
  <c r="H264" i="12"/>
  <c r="I263" i="12"/>
  <c r="D263" i="12"/>
  <c r="J263" i="12"/>
  <c r="H263" i="12"/>
  <c r="I262" i="12"/>
  <c r="D262" i="12"/>
  <c r="J262" i="12"/>
  <c r="H262" i="12"/>
  <c r="I261" i="12"/>
  <c r="D261" i="12"/>
  <c r="J261" i="12"/>
  <c r="H261" i="12"/>
  <c r="I260" i="12"/>
  <c r="D260" i="12"/>
  <c r="J260" i="12"/>
  <c r="H260" i="12"/>
  <c r="I259" i="12"/>
  <c r="D259" i="12"/>
  <c r="J259" i="12"/>
  <c r="H259" i="12"/>
  <c r="I258" i="12"/>
  <c r="D258" i="12"/>
  <c r="J258" i="12"/>
  <c r="H258" i="12"/>
  <c r="I257" i="12"/>
  <c r="D257" i="12"/>
  <c r="J257" i="12"/>
  <c r="H257" i="12"/>
  <c r="I256" i="12"/>
  <c r="D256" i="12"/>
  <c r="J256" i="12"/>
  <c r="H256" i="12"/>
  <c r="I255" i="12"/>
  <c r="D255" i="12"/>
  <c r="J255" i="12"/>
  <c r="H255" i="12"/>
  <c r="I254" i="12"/>
  <c r="D254" i="12"/>
  <c r="J254" i="12"/>
  <c r="H254" i="12"/>
  <c r="I253" i="12"/>
  <c r="D253" i="12"/>
  <c r="J253" i="12"/>
  <c r="H253" i="12"/>
  <c r="I252" i="12"/>
  <c r="D252" i="12"/>
  <c r="J252" i="12"/>
  <c r="H252" i="12"/>
  <c r="I251" i="12"/>
  <c r="D251" i="12"/>
  <c r="J251" i="12"/>
  <c r="H251" i="12"/>
  <c r="I250" i="12"/>
  <c r="D250" i="12"/>
  <c r="J250" i="12"/>
  <c r="H250" i="12"/>
  <c r="I249" i="12"/>
  <c r="D249" i="12"/>
  <c r="J249" i="12"/>
  <c r="H249" i="12"/>
  <c r="I248" i="12"/>
  <c r="D248" i="12"/>
  <c r="J248" i="12"/>
  <c r="H248" i="12"/>
  <c r="I247" i="12"/>
  <c r="D247" i="12"/>
  <c r="J247" i="12"/>
  <c r="H247" i="12"/>
  <c r="I246" i="12"/>
  <c r="D246" i="12"/>
  <c r="J246" i="12"/>
  <c r="H246" i="12"/>
  <c r="I245" i="12"/>
  <c r="D245" i="12"/>
  <c r="J245" i="12"/>
  <c r="H245" i="12"/>
  <c r="I244" i="12"/>
  <c r="D244" i="12"/>
  <c r="J244" i="12"/>
  <c r="H244" i="12"/>
  <c r="I243" i="12"/>
  <c r="D243" i="12"/>
  <c r="J243" i="12"/>
  <c r="H243" i="12"/>
  <c r="I242" i="12"/>
  <c r="D242" i="12"/>
  <c r="J242" i="12"/>
  <c r="H242" i="12"/>
  <c r="I241" i="12"/>
  <c r="D241" i="12"/>
  <c r="J241" i="12"/>
  <c r="H241" i="12"/>
  <c r="I240" i="12"/>
  <c r="D240" i="12"/>
  <c r="J240" i="12"/>
  <c r="H240" i="12"/>
  <c r="I239" i="12"/>
  <c r="D239" i="12"/>
  <c r="J239" i="12"/>
  <c r="H239" i="12"/>
  <c r="I238" i="12"/>
  <c r="D238" i="12"/>
  <c r="J238" i="12"/>
  <c r="H238" i="12"/>
  <c r="I237" i="12"/>
  <c r="D237" i="12"/>
  <c r="J237" i="12"/>
  <c r="H237" i="12"/>
  <c r="I236" i="12"/>
  <c r="D236" i="12"/>
  <c r="J236" i="12"/>
  <c r="H236" i="12"/>
  <c r="I235" i="12"/>
  <c r="D235" i="12"/>
  <c r="J235" i="12"/>
  <c r="H235" i="12"/>
  <c r="I234" i="12"/>
  <c r="D234" i="12"/>
  <c r="J234" i="12"/>
  <c r="H234" i="12"/>
  <c r="I233" i="12"/>
  <c r="D233" i="12"/>
  <c r="J233" i="12"/>
  <c r="H233" i="12"/>
  <c r="I232" i="12"/>
  <c r="D232" i="12"/>
  <c r="J232" i="12"/>
  <c r="H232" i="12"/>
  <c r="I231" i="12"/>
  <c r="D231" i="12"/>
  <c r="J231" i="12"/>
  <c r="H231" i="12"/>
  <c r="I230" i="12"/>
  <c r="D230" i="12"/>
  <c r="J230" i="12"/>
  <c r="H230" i="12"/>
  <c r="I229" i="12"/>
  <c r="D229" i="12"/>
  <c r="J229" i="12"/>
  <c r="H229" i="12"/>
  <c r="I228" i="12"/>
  <c r="D228" i="12"/>
  <c r="J228" i="12"/>
  <c r="H228" i="12"/>
  <c r="I227" i="12"/>
  <c r="D227" i="12"/>
  <c r="J227" i="12"/>
  <c r="H227" i="12"/>
  <c r="I226" i="12"/>
  <c r="D226" i="12"/>
  <c r="J226" i="12"/>
  <c r="H226" i="12"/>
  <c r="I225" i="12"/>
  <c r="D225" i="12"/>
  <c r="J225" i="12"/>
  <c r="H225" i="12"/>
  <c r="I224" i="12"/>
  <c r="D224" i="12"/>
  <c r="J224" i="12"/>
  <c r="H224" i="12"/>
  <c r="I223" i="12"/>
  <c r="D223" i="12"/>
  <c r="J223" i="12"/>
  <c r="H223" i="12"/>
  <c r="I222" i="12"/>
  <c r="D222" i="12"/>
  <c r="J222" i="12"/>
  <c r="H222" i="12"/>
  <c r="I221" i="12"/>
  <c r="D221" i="12"/>
  <c r="J221" i="12"/>
  <c r="H221" i="12"/>
  <c r="I220" i="12"/>
  <c r="D220" i="12"/>
  <c r="J220" i="12"/>
  <c r="H220" i="12"/>
  <c r="I219" i="12"/>
  <c r="D219" i="12"/>
  <c r="J219" i="12"/>
  <c r="H219" i="12"/>
  <c r="I218" i="12"/>
  <c r="D218" i="12"/>
  <c r="J218" i="12"/>
  <c r="H218" i="12"/>
  <c r="I217" i="12"/>
  <c r="D217" i="12"/>
  <c r="J217" i="12"/>
  <c r="H217" i="12"/>
  <c r="I216" i="12"/>
  <c r="D216" i="12"/>
  <c r="J216" i="12"/>
  <c r="H216" i="12"/>
  <c r="I215" i="12"/>
  <c r="D215" i="12"/>
  <c r="J215" i="12"/>
  <c r="H215" i="12"/>
  <c r="I214" i="12"/>
  <c r="D214" i="12"/>
  <c r="J214" i="12"/>
  <c r="H214" i="12"/>
  <c r="I213" i="12"/>
  <c r="D213" i="12"/>
  <c r="J213" i="12"/>
  <c r="H213" i="12"/>
  <c r="I212" i="12"/>
  <c r="D212" i="12"/>
  <c r="J212" i="12"/>
  <c r="H212" i="12"/>
  <c r="I211" i="12"/>
  <c r="D211" i="12"/>
  <c r="J211" i="12"/>
  <c r="H211" i="12"/>
  <c r="I210" i="12"/>
  <c r="D210" i="12"/>
  <c r="J210" i="12"/>
  <c r="H210" i="12"/>
  <c r="I209" i="12"/>
  <c r="D209" i="12"/>
  <c r="J209" i="12"/>
  <c r="H209" i="12"/>
  <c r="I208" i="12"/>
  <c r="D208" i="12"/>
  <c r="J208" i="12"/>
  <c r="H208" i="12"/>
  <c r="I207" i="12"/>
  <c r="D207" i="12"/>
  <c r="J207" i="12"/>
  <c r="H207" i="12"/>
  <c r="I206" i="12"/>
  <c r="D206" i="12"/>
  <c r="J206" i="12"/>
  <c r="H206" i="12"/>
  <c r="I205" i="12"/>
  <c r="D205" i="12"/>
  <c r="J205" i="12"/>
  <c r="H205" i="12"/>
  <c r="I204" i="12"/>
  <c r="D204" i="12"/>
  <c r="J204" i="12"/>
  <c r="H204" i="12"/>
  <c r="I203" i="12"/>
  <c r="D203" i="12"/>
  <c r="J203" i="12"/>
  <c r="H203" i="12"/>
  <c r="I202" i="12"/>
  <c r="D202" i="12"/>
  <c r="J202" i="12"/>
  <c r="H202" i="12"/>
  <c r="I201" i="12"/>
  <c r="D201" i="12"/>
  <c r="J201" i="12"/>
  <c r="H201" i="12"/>
  <c r="I200" i="12"/>
  <c r="D200" i="12"/>
  <c r="J200" i="12"/>
  <c r="H200" i="12"/>
  <c r="I199" i="12"/>
  <c r="D199" i="12"/>
  <c r="J199" i="12"/>
  <c r="H199" i="12"/>
  <c r="I198" i="12"/>
  <c r="D198" i="12"/>
  <c r="J198" i="12"/>
  <c r="H198" i="12"/>
  <c r="I197" i="12"/>
  <c r="D197" i="12"/>
  <c r="J197" i="12"/>
  <c r="H197" i="12"/>
  <c r="I196" i="12"/>
  <c r="D196" i="12"/>
  <c r="J196" i="12"/>
  <c r="H196" i="12"/>
  <c r="I195" i="12"/>
  <c r="D195" i="12"/>
  <c r="J195" i="12"/>
  <c r="H195" i="12"/>
  <c r="I194" i="12"/>
  <c r="D194" i="12"/>
  <c r="J194" i="12"/>
  <c r="H194" i="12"/>
  <c r="I193" i="12"/>
  <c r="D193" i="12"/>
  <c r="J193" i="12"/>
  <c r="H193" i="12"/>
  <c r="I192" i="12"/>
  <c r="D192" i="12"/>
  <c r="J192" i="12"/>
  <c r="H192" i="12"/>
  <c r="I191" i="12"/>
  <c r="D191" i="12"/>
  <c r="J191" i="12"/>
  <c r="H191" i="12"/>
  <c r="I190" i="12"/>
  <c r="D190" i="12"/>
  <c r="J190" i="12"/>
  <c r="H190" i="12"/>
  <c r="I189" i="12"/>
  <c r="D189" i="12"/>
  <c r="J189" i="12"/>
  <c r="H189" i="12"/>
  <c r="I188" i="12"/>
  <c r="D188" i="12"/>
  <c r="J188" i="12"/>
  <c r="H188" i="12"/>
  <c r="I187" i="12"/>
  <c r="D187" i="12"/>
  <c r="J187" i="12"/>
  <c r="H187" i="12"/>
  <c r="I186" i="12"/>
  <c r="D186" i="12"/>
  <c r="J186" i="12"/>
  <c r="H186" i="12"/>
  <c r="I185" i="12"/>
  <c r="D185" i="12"/>
  <c r="J185" i="12"/>
  <c r="H185" i="12"/>
  <c r="I184" i="12"/>
  <c r="D184" i="12"/>
  <c r="J184" i="12"/>
  <c r="H184" i="12"/>
  <c r="I183" i="12"/>
  <c r="D183" i="12"/>
  <c r="J183" i="12"/>
  <c r="H183" i="12"/>
  <c r="I182" i="12"/>
  <c r="D182" i="12"/>
  <c r="J182" i="12"/>
  <c r="H182" i="12"/>
  <c r="I181" i="12"/>
  <c r="D181" i="12"/>
  <c r="J181" i="12"/>
  <c r="H181" i="12"/>
  <c r="I180" i="12"/>
  <c r="D180" i="12"/>
  <c r="J180" i="12"/>
  <c r="H180" i="12"/>
  <c r="I179" i="12"/>
  <c r="D179" i="12"/>
  <c r="J179" i="12"/>
  <c r="H179" i="12"/>
  <c r="I178" i="12"/>
  <c r="D178" i="12"/>
  <c r="J178" i="12"/>
  <c r="H178" i="12"/>
  <c r="I177" i="12"/>
  <c r="D177" i="12"/>
  <c r="J177" i="12"/>
  <c r="H177" i="12"/>
  <c r="I176" i="12"/>
  <c r="D176" i="12"/>
  <c r="J176" i="12"/>
  <c r="H176" i="12"/>
  <c r="I175" i="12"/>
  <c r="D175" i="12"/>
  <c r="J175" i="12"/>
  <c r="H175" i="12"/>
  <c r="I174" i="12"/>
  <c r="D174" i="12"/>
  <c r="J174" i="12"/>
  <c r="H174" i="12"/>
  <c r="I173" i="12"/>
  <c r="D173" i="12"/>
  <c r="J173" i="12"/>
  <c r="H173" i="12"/>
  <c r="I172" i="12"/>
  <c r="D172" i="12"/>
  <c r="J172" i="12"/>
  <c r="H172" i="12"/>
  <c r="I171" i="12"/>
  <c r="D171" i="12"/>
  <c r="J171" i="12"/>
  <c r="H171" i="12"/>
  <c r="I170" i="12"/>
  <c r="D170" i="12"/>
  <c r="J170" i="12"/>
  <c r="H170" i="12"/>
  <c r="I169" i="12"/>
  <c r="D169" i="12"/>
  <c r="J169" i="12"/>
  <c r="H169" i="12"/>
  <c r="I168" i="12"/>
  <c r="D168" i="12"/>
  <c r="J168" i="12"/>
  <c r="H168" i="12"/>
  <c r="I167" i="12"/>
  <c r="D167" i="12"/>
  <c r="J167" i="12"/>
  <c r="H167" i="12"/>
  <c r="I166" i="12"/>
  <c r="D166" i="12"/>
  <c r="J166" i="12"/>
  <c r="H166" i="12"/>
  <c r="I165" i="12"/>
  <c r="D165" i="12"/>
  <c r="J165" i="12"/>
  <c r="H165" i="12"/>
  <c r="I164" i="12"/>
  <c r="D164" i="12"/>
  <c r="J164" i="12"/>
  <c r="H164" i="12"/>
  <c r="I163" i="12"/>
  <c r="D163" i="12"/>
  <c r="J163" i="12"/>
  <c r="H163" i="12"/>
  <c r="I162" i="12"/>
  <c r="D162" i="12"/>
  <c r="J162" i="12"/>
  <c r="H162" i="12"/>
  <c r="I161" i="12"/>
  <c r="D161" i="12"/>
  <c r="J161" i="12"/>
  <c r="H161" i="12"/>
  <c r="I160" i="12"/>
  <c r="D160" i="12"/>
  <c r="J160" i="12"/>
  <c r="H160" i="12"/>
  <c r="I159" i="12"/>
  <c r="D159" i="12"/>
  <c r="J159" i="12"/>
  <c r="H159" i="12"/>
  <c r="I158" i="12"/>
  <c r="D158" i="12"/>
  <c r="J158" i="12"/>
  <c r="H158" i="12"/>
  <c r="I157" i="12"/>
  <c r="D157" i="12"/>
  <c r="J157" i="12"/>
  <c r="H157" i="12"/>
  <c r="I156" i="12"/>
  <c r="D156" i="12"/>
  <c r="J156" i="12"/>
  <c r="H156" i="12"/>
  <c r="I155" i="12"/>
  <c r="D155" i="12"/>
  <c r="J155" i="12"/>
  <c r="H155" i="12"/>
  <c r="I154" i="12"/>
  <c r="D154" i="12"/>
  <c r="J154" i="12"/>
  <c r="H154" i="12"/>
  <c r="I153" i="12"/>
  <c r="D153" i="12"/>
  <c r="J153" i="12"/>
  <c r="H153" i="12"/>
  <c r="I152" i="12"/>
  <c r="D152" i="12"/>
  <c r="J152" i="12"/>
  <c r="H152" i="12"/>
  <c r="I151" i="12"/>
  <c r="D151" i="12"/>
  <c r="J151" i="12"/>
  <c r="H151" i="12"/>
  <c r="I150" i="12"/>
  <c r="D150" i="12"/>
  <c r="J150" i="12"/>
  <c r="H150" i="12"/>
  <c r="I149" i="12"/>
  <c r="D149" i="12"/>
  <c r="J149" i="12"/>
  <c r="H149" i="12"/>
  <c r="I148" i="12"/>
  <c r="D148" i="12"/>
  <c r="J148" i="12"/>
  <c r="H148" i="12"/>
  <c r="I147" i="12"/>
  <c r="D147" i="12"/>
  <c r="J147" i="12"/>
  <c r="H147" i="12"/>
  <c r="I146" i="12"/>
  <c r="D146" i="12"/>
  <c r="J146" i="12"/>
  <c r="H146" i="12"/>
  <c r="I145" i="12"/>
  <c r="D145" i="12"/>
  <c r="J145" i="12"/>
  <c r="H145" i="12"/>
  <c r="I144" i="12"/>
  <c r="D144" i="12"/>
  <c r="J144" i="12"/>
  <c r="H144" i="12"/>
  <c r="I143" i="12"/>
  <c r="D143" i="12"/>
  <c r="J143" i="12"/>
  <c r="H143" i="12"/>
  <c r="I142" i="12"/>
  <c r="D142" i="12"/>
  <c r="J142" i="12"/>
  <c r="H142" i="12"/>
  <c r="I141" i="12"/>
  <c r="D141" i="12"/>
  <c r="J141" i="12"/>
  <c r="H141" i="12"/>
  <c r="I140" i="12"/>
  <c r="D140" i="12"/>
  <c r="J140" i="12"/>
  <c r="H140" i="12"/>
  <c r="I139" i="12"/>
  <c r="D139" i="12"/>
  <c r="J139" i="12"/>
  <c r="H139" i="12"/>
  <c r="I138" i="12"/>
  <c r="D138" i="12"/>
  <c r="J138" i="12"/>
  <c r="H138" i="12"/>
  <c r="I137" i="12"/>
  <c r="D137" i="12"/>
  <c r="J137" i="12"/>
  <c r="H137" i="12"/>
  <c r="I136" i="12"/>
  <c r="D136" i="12"/>
  <c r="J136" i="12"/>
  <c r="H136" i="12"/>
  <c r="I135" i="12"/>
  <c r="D135" i="12"/>
  <c r="J135" i="12"/>
  <c r="H135" i="12"/>
  <c r="I134" i="12"/>
  <c r="D134" i="12"/>
  <c r="J134" i="12"/>
  <c r="H134" i="12"/>
  <c r="I133" i="12"/>
  <c r="D133" i="12"/>
  <c r="J133" i="12"/>
  <c r="H133" i="12"/>
  <c r="I132" i="12"/>
  <c r="D132" i="12"/>
  <c r="J132" i="12"/>
  <c r="H132" i="12"/>
  <c r="I131" i="12"/>
  <c r="D131" i="12"/>
  <c r="J131" i="12"/>
  <c r="H131" i="12"/>
  <c r="I130" i="12"/>
  <c r="D130" i="12"/>
  <c r="J130" i="12"/>
  <c r="H130" i="12"/>
  <c r="I129" i="12"/>
  <c r="D129" i="12"/>
  <c r="J129" i="12"/>
  <c r="H129" i="12"/>
  <c r="I128" i="12"/>
  <c r="D128" i="12"/>
  <c r="J128" i="12"/>
  <c r="H128" i="12"/>
  <c r="I127" i="12"/>
  <c r="D127" i="12"/>
  <c r="J127" i="12"/>
  <c r="H127" i="12"/>
  <c r="I126" i="12"/>
  <c r="D126" i="12"/>
  <c r="J126" i="12"/>
  <c r="H126" i="12"/>
  <c r="I125" i="12"/>
  <c r="D125" i="12"/>
  <c r="J125" i="12"/>
  <c r="H125" i="12"/>
  <c r="I124" i="12"/>
  <c r="D124" i="12"/>
  <c r="J124" i="12"/>
  <c r="H124" i="12"/>
  <c r="I123" i="12"/>
  <c r="D123" i="12"/>
  <c r="J123" i="12"/>
  <c r="H123" i="12"/>
  <c r="I122" i="12"/>
  <c r="D122" i="12"/>
  <c r="J122" i="12"/>
  <c r="H122" i="12"/>
  <c r="I121" i="12"/>
  <c r="D121" i="12"/>
  <c r="J121" i="12"/>
  <c r="H121" i="12"/>
  <c r="I120" i="12"/>
  <c r="D120" i="12"/>
  <c r="J120" i="12"/>
  <c r="H120" i="12"/>
  <c r="I119" i="12"/>
  <c r="D119" i="12"/>
  <c r="J119" i="12"/>
  <c r="H119" i="12"/>
  <c r="I118" i="12"/>
  <c r="D118" i="12"/>
  <c r="J118" i="12"/>
  <c r="H118" i="12"/>
  <c r="I117" i="12"/>
  <c r="D117" i="12"/>
  <c r="J117" i="12"/>
  <c r="H117" i="12"/>
  <c r="I116" i="12"/>
  <c r="D116" i="12"/>
  <c r="J116" i="12"/>
  <c r="H116" i="12"/>
  <c r="I115" i="12"/>
  <c r="D115" i="12"/>
  <c r="J115" i="12"/>
  <c r="H115" i="12"/>
  <c r="I114" i="12"/>
  <c r="D114" i="12"/>
  <c r="J114" i="12"/>
  <c r="H114" i="12"/>
  <c r="I113" i="12"/>
  <c r="D113" i="12"/>
  <c r="J113" i="12"/>
  <c r="H113" i="12"/>
  <c r="I112" i="12"/>
  <c r="D112" i="12"/>
  <c r="J112" i="12"/>
  <c r="H112" i="12"/>
  <c r="I111" i="12"/>
  <c r="D111" i="12"/>
  <c r="J111" i="12"/>
  <c r="H111" i="12"/>
  <c r="I110" i="12"/>
  <c r="D110" i="12"/>
  <c r="J110" i="12"/>
  <c r="H110" i="12"/>
  <c r="I109" i="12"/>
  <c r="D109" i="12"/>
  <c r="J109" i="12"/>
  <c r="H109" i="12"/>
  <c r="I108" i="12"/>
  <c r="D108" i="12"/>
  <c r="J108" i="12"/>
  <c r="H108" i="12"/>
  <c r="I107" i="12"/>
  <c r="D107" i="12"/>
  <c r="J107" i="12"/>
  <c r="H107" i="12"/>
  <c r="I106" i="12"/>
  <c r="D106" i="12"/>
  <c r="J106" i="12"/>
  <c r="H106" i="12"/>
  <c r="I105" i="12"/>
  <c r="D105" i="12"/>
  <c r="J105" i="12"/>
  <c r="H105" i="12"/>
  <c r="I104" i="12"/>
  <c r="D104" i="12"/>
  <c r="J104" i="12"/>
  <c r="H104" i="12"/>
  <c r="I103" i="12"/>
  <c r="D103" i="12"/>
  <c r="J103" i="12"/>
  <c r="H103" i="12"/>
  <c r="I102" i="12"/>
  <c r="D102" i="12"/>
  <c r="J102" i="12"/>
  <c r="H102" i="12"/>
  <c r="I101" i="12"/>
  <c r="D101" i="12"/>
  <c r="J101" i="12"/>
  <c r="H101" i="12"/>
  <c r="I100" i="12"/>
  <c r="D100" i="12"/>
  <c r="J100" i="12"/>
  <c r="H100" i="12"/>
  <c r="I99" i="12"/>
  <c r="D99" i="12"/>
  <c r="J99" i="12"/>
  <c r="H99" i="12"/>
  <c r="I98" i="12"/>
  <c r="D98" i="12"/>
  <c r="J98" i="12"/>
  <c r="H98" i="12"/>
  <c r="I97" i="12"/>
  <c r="D97" i="12"/>
  <c r="J97" i="12"/>
  <c r="H97" i="12"/>
  <c r="I96" i="12"/>
  <c r="D96" i="12"/>
  <c r="J96" i="12"/>
  <c r="H96" i="12"/>
  <c r="I95" i="12"/>
  <c r="D95" i="12"/>
  <c r="J95" i="12"/>
  <c r="H95" i="12"/>
  <c r="I94" i="12"/>
  <c r="D94" i="12"/>
  <c r="J94" i="12"/>
  <c r="H94" i="12"/>
  <c r="I93" i="12"/>
  <c r="D93" i="12"/>
  <c r="J93" i="12"/>
  <c r="H93" i="12"/>
  <c r="I92" i="12"/>
  <c r="D92" i="12"/>
  <c r="J92" i="12"/>
  <c r="H92" i="12"/>
  <c r="I91" i="12"/>
  <c r="D91" i="12"/>
  <c r="J91" i="12"/>
  <c r="H91" i="12"/>
  <c r="I90" i="12"/>
  <c r="D90" i="12"/>
  <c r="J90" i="12"/>
  <c r="H90" i="12"/>
  <c r="I89" i="12"/>
  <c r="D89" i="12"/>
  <c r="J89" i="12"/>
  <c r="H89" i="12"/>
  <c r="I88" i="12"/>
  <c r="D88" i="12"/>
  <c r="J88" i="12"/>
  <c r="H88" i="12"/>
  <c r="I87" i="12"/>
  <c r="D87" i="12"/>
  <c r="J87" i="12"/>
  <c r="H87" i="12"/>
  <c r="I86" i="12"/>
  <c r="D86" i="12"/>
  <c r="J86" i="12"/>
  <c r="H86" i="12"/>
  <c r="I85" i="12"/>
  <c r="D85" i="12"/>
  <c r="J85" i="12"/>
  <c r="H85" i="12"/>
  <c r="I84" i="12"/>
  <c r="D84" i="12"/>
  <c r="J84" i="12"/>
  <c r="H84" i="12"/>
  <c r="I83" i="12"/>
  <c r="D83" i="12"/>
  <c r="J83" i="12"/>
  <c r="H83" i="12"/>
  <c r="I82" i="12"/>
  <c r="D82" i="12"/>
  <c r="J82" i="12"/>
  <c r="H82" i="12"/>
  <c r="I81" i="12"/>
  <c r="D81" i="12"/>
  <c r="J81" i="12"/>
  <c r="H81" i="12"/>
  <c r="I80" i="12"/>
  <c r="D80" i="12"/>
  <c r="J80" i="12"/>
  <c r="H80" i="12"/>
  <c r="I79" i="12"/>
  <c r="D79" i="12"/>
  <c r="J79" i="12"/>
  <c r="H79" i="12"/>
  <c r="I78" i="12"/>
  <c r="D78" i="12"/>
  <c r="J78" i="12"/>
  <c r="H78" i="12"/>
  <c r="I77" i="12"/>
  <c r="D77" i="12"/>
  <c r="J77" i="12"/>
  <c r="H77" i="12"/>
  <c r="I76" i="12"/>
  <c r="D76" i="12"/>
  <c r="J76" i="12"/>
  <c r="H76" i="12"/>
  <c r="I75" i="12"/>
  <c r="D75" i="12"/>
  <c r="J75" i="12"/>
  <c r="H75" i="12"/>
  <c r="I74" i="12"/>
  <c r="D74" i="12"/>
  <c r="J74" i="12"/>
  <c r="H74" i="12"/>
  <c r="I73" i="12"/>
  <c r="D73" i="12"/>
  <c r="J73" i="12"/>
  <c r="H73" i="12"/>
  <c r="I72" i="12"/>
  <c r="D72" i="12"/>
  <c r="J72" i="12"/>
  <c r="H72" i="12"/>
  <c r="I71" i="12"/>
  <c r="D71" i="12"/>
  <c r="J71" i="12"/>
  <c r="H71" i="12"/>
  <c r="I70" i="12"/>
  <c r="D70" i="12"/>
  <c r="J70" i="12"/>
  <c r="H70" i="12"/>
  <c r="I69" i="12"/>
  <c r="D69" i="12"/>
  <c r="J69" i="12"/>
  <c r="H69" i="12"/>
  <c r="I68" i="12"/>
  <c r="D68" i="12"/>
  <c r="J68" i="12"/>
  <c r="H68" i="12"/>
  <c r="I67" i="12"/>
  <c r="D67" i="12"/>
  <c r="J67" i="12"/>
  <c r="H67" i="12"/>
  <c r="I66" i="12"/>
  <c r="D66" i="12"/>
  <c r="J66" i="12"/>
  <c r="H66" i="12"/>
  <c r="I65" i="12"/>
  <c r="D65" i="12"/>
  <c r="J65" i="12"/>
  <c r="H65" i="12"/>
  <c r="I64" i="12"/>
  <c r="D64" i="12"/>
  <c r="J64" i="12"/>
  <c r="H64" i="12"/>
  <c r="I63" i="12"/>
  <c r="D63" i="12"/>
  <c r="J63" i="12"/>
  <c r="H63" i="12"/>
  <c r="I62" i="12"/>
  <c r="D62" i="12"/>
  <c r="J62" i="12"/>
  <c r="H62" i="12"/>
  <c r="I61" i="12"/>
  <c r="D61" i="12"/>
  <c r="J61" i="12"/>
  <c r="H61" i="12"/>
  <c r="I60" i="12"/>
  <c r="D60" i="12"/>
  <c r="J60" i="12"/>
  <c r="H60" i="12"/>
  <c r="I59" i="12"/>
  <c r="D59" i="12"/>
  <c r="J59" i="12"/>
  <c r="H59" i="12"/>
  <c r="I58" i="12"/>
  <c r="D58" i="12"/>
  <c r="J58" i="12"/>
  <c r="H58" i="12"/>
  <c r="I57" i="12"/>
  <c r="D57" i="12"/>
  <c r="J57" i="12"/>
  <c r="H57" i="12"/>
  <c r="I56" i="12"/>
  <c r="D56" i="12"/>
  <c r="J56" i="12"/>
  <c r="H56" i="12"/>
  <c r="I55" i="12"/>
  <c r="D55" i="12"/>
  <c r="J55" i="12"/>
  <c r="H55" i="12"/>
  <c r="I54" i="12"/>
  <c r="D54" i="12"/>
  <c r="J54" i="12"/>
  <c r="H54" i="12"/>
  <c r="I53" i="12"/>
  <c r="D53" i="12"/>
  <c r="J53" i="12"/>
  <c r="H53" i="12"/>
  <c r="I52" i="12"/>
  <c r="D52" i="12"/>
  <c r="J52" i="12"/>
  <c r="H52" i="12"/>
  <c r="I51" i="12"/>
  <c r="D51" i="12"/>
  <c r="J51" i="12"/>
  <c r="H51" i="12"/>
  <c r="I50" i="12"/>
  <c r="D50" i="12"/>
  <c r="J50" i="12"/>
  <c r="H50" i="12"/>
  <c r="I49" i="12"/>
  <c r="D49" i="12"/>
  <c r="J49" i="12"/>
  <c r="H49" i="12"/>
  <c r="I48" i="12"/>
  <c r="D48" i="12"/>
  <c r="J48" i="12"/>
  <c r="H48" i="12"/>
  <c r="I47" i="12"/>
  <c r="D47" i="12"/>
  <c r="J47" i="12"/>
  <c r="H47" i="12"/>
  <c r="I46" i="12"/>
  <c r="D46" i="12"/>
  <c r="J46" i="12"/>
  <c r="H46" i="12"/>
  <c r="I45" i="12"/>
  <c r="D45" i="12"/>
  <c r="J45" i="12"/>
  <c r="H45" i="12"/>
  <c r="I44" i="12"/>
  <c r="D44" i="12"/>
  <c r="J44" i="12"/>
  <c r="H44" i="12"/>
  <c r="I43" i="12"/>
  <c r="D43" i="12"/>
  <c r="J43" i="12"/>
  <c r="H43" i="12"/>
  <c r="I42" i="12"/>
  <c r="D42" i="12"/>
  <c r="J42" i="12"/>
  <c r="H42" i="12"/>
  <c r="I41" i="12"/>
  <c r="D41" i="12"/>
  <c r="J41" i="12"/>
  <c r="H41" i="12"/>
  <c r="I40" i="12"/>
  <c r="D40" i="12"/>
  <c r="J40" i="12"/>
  <c r="H40" i="12"/>
  <c r="I39" i="12"/>
  <c r="D39" i="12"/>
  <c r="J39" i="12"/>
  <c r="H39" i="12"/>
  <c r="I38" i="12"/>
  <c r="D38" i="12"/>
  <c r="J38" i="12"/>
  <c r="H38" i="12"/>
  <c r="I37" i="12"/>
  <c r="D37" i="12"/>
  <c r="J37" i="12"/>
  <c r="H37" i="12"/>
  <c r="I36" i="12"/>
  <c r="D36" i="12"/>
  <c r="J36" i="12"/>
  <c r="H36" i="12"/>
  <c r="I35" i="12"/>
  <c r="D35" i="12"/>
  <c r="J35" i="12"/>
  <c r="H35" i="12"/>
  <c r="I34" i="12"/>
  <c r="D34" i="12"/>
  <c r="J34" i="12"/>
  <c r="H34" i="12"/>
  <c r="I33" i="12"/>
  <c r="D33" i="12"/>
  <c r="J33" i="12"/>
  <c r="H33" i="12"/>
  <c r="I32" i="12"/>
  <c r="D32" i="12"/>
  <c r="J32" i="12"/>
  <c r="H32" i="12"/>
  <c r="I31" i="12"/>
  <c r="D31" i="12"/>
  <c r="J31" i="12"/>
  <c r="H31" i="12"/>
  <c r="I30" i="12"/>
  <c r="D30" i="12"/>
  <c r="J30" i="12"/>
  <c r="H30" i="12"/>
  <c r="I29" i="12"/>
  <c r="D29" i="12"/>
  <c r="J29" i="12"/>
  <c r="H29" i="12"/>
  <c r="I28" i="12"/>
  <c r="D28" i="12"/>
  <c r="J28" i="12"/>
  <c r="H28" i="12"/>
  <c r="I27" i="12"/>
  <c r="D27" i="12"/>
  <c r="J27" i="12"/>
  <c r="H27" i="12"/>
  <c r="I26" i="12"/>
  <c r="D26" i="12"/>
  <c r="J26" i="12"/>
  <c r="H26" i="12"/>
  <c r="I25" i="12"/>
  <c r="D25" i="12"/>
  <c r="J25" i="12"/>
  <c r="H25" i="12"/>
  <c r="I24" i="12"/>
  <c r="D24" i="12"/>
  <c r="J24" i="12"/>
  <c r="H24" i="12"/>
  <c r="I23" i="12"/>
  <c r="D23" i="12"/>
  <c r="J23" i="12"/>
  <c r="H23" i="12"/>
  <c r="I22" i="12"/>
  <c r="D22" i="12"/>
  <c r="J22" i="12"/>
  <c r="H22" i="12"/>
  <c r="I21" i="12"/>
  <c r="D21" i="12"/>
  <c r="J21" i="12"/>
  <c r="H21" i="12"/>
  <c r="I20" i="12"/>
  <c r="D20" i="12"/>
  <c r="J20" i="12"/>
  <c r="H20" i="12"/>
  <c r="I19" i="12"/>
  <c r="D19" i="12"/>
  <c r="J19" i="12"/>
  <c r="H19" i="12"/>
  <c r="I18" i="12"/>
  <c r="D18" i="12"/>
  <c r="J18" i="12"/>
  <c r="H18" i="12"/>
  <c r="I17" i="12"/>
  <c r="D17" i="12"/>
  <c r="J17" i="12"/>
  <c r="H17" i="12"/>
  <c r="I16" i="12"/>
  <c r="D16" i="12"/>
  <c r="J16" i="12"/>
  <c r="H16" i="12"/>
  <c r="I15" i="12"/>
  <c r="D15" i="12"/>
  <c r="J15" i="12"/>
  <c r="H15" i="12"/>
  <c r="I14" i="12"/>
  <c r="D14" i="12"/>
  <c r="J14" i="12"/>
  <c r="H14" i="12"/>
  <c r="I13" i="12"/>
  <c r="D13" i="12"/>
  <c r="J13" i="12"/>
  <c r="H13" i="12"/>
  <c r="I12" i="12"/>
  <c r="D12" i="12"/>
  <c r="J12" i="12"/>
  <c r="H12" i="12"/>
  <c r="I11" i="12"/>
  <c r="D11" i="12"/>
  <c r="J11" i="12"/>
  <c r="H11" i="12"/>
  <c r="I10" i="12"/>
  <c r="D10" i="12"/>
  <c r="J10" i="12"/>
  <c r="H10" i="12"/>
  <c r="I9" i="12"/>
  <c r="D9" i="12"/>
  <c r="J9" i="12"/>
  <c r="H9" i="12"/>
  <c r="I8" i="12"/>
  <c r="D8" i="12"/>
  <c r="J8" i="12"/>
  <c r="H8" i="12"/>
  <c r="I7" i="12"/>
  <c r="D7" i="12"/>
  <c r="J7" i="12"/>
  <c r="H7" i="12"/>
  <c r="I6" i="12"/>
  <c r="D6" i="12"/>
  <c r="J6" i="12"/>
  <c r="H6" i="12"/>
  <c r="I5" i="12"/>
  <c r="D5" i="12"/>
  <c r="J5" i="12"/>
  <c r="H5" i="12"/>
  <c r="I4" i="12"/>
  <c r="D4" i="12"/>
  <c r="J4" i="12"/>
  <c r="H4" i="12"/>
  <c r="I3" i="12"/>
  <c r="D3" i="12"/>
  <c r="J3" i="12"/>
  <c r="H3" i="12"/>
  <c r="I2" i="12"/>
  <c r="D2" i="12"/>
  <c r="J2" i="12"/>
  <c r="H2" i="12"/>
  <c r="K201" i="11"/>
  <c r="I201" i="11"/>
  <c r="K200" i="11"/>
  <c r="I200" i="11"/>
  <c r="K199" i="11"/>
  <c r="I199" i="11"/>
  <c r="K198" i="11"/>
  <c r="I198" i="11"/>
  <c r="K197" i="11"/>
  <c r="I197" i="11"/>
  <c r="K196" i="11"/>
  <c r="I196" i="11"/>
  <c r="K195" i="11"/>
  <c r="I195" i="11"/>
  <c r="K194" i="11"/>
  <c r="I194" i="11"/>
  <c r="K193" i="11"/>
  <c r="I193" i="11"/>
  <c r="K192" i="11"/>
  <c r="I192" i="11"/>
  <c r="K191" i="11"/>
  <c r="I191" i="11"/>
  <c r="K190" i="11"/>
  <c r="I190" i="11"/>
  <c r="K189" i="11"/>
  <c r="I189" i="11"/>
  <c r="K188" i="11"/>
  <c r="I188" i="11"/>
  <c r="K187" i="11"/>
  <c r="I187" i="11"/>
  <c r="K186" i="11"/>
  <c r="I186" i="11"/>
  <c r="K185" i="11"/>
  <c r="I185" i="11"/>
  <c r="K184" i="11"/>
  <c r="I184" i="11"/>
  <c r="K183" i="11"/>
  <c r="I183" i="11"/>
  <c r="K182" i="11"/>
  <c r="I182" i="11"/>
  <c r="K181" i="11"/>
  <c r="I181" i="11"/>
  <c r="K180" i="11"/>
  <c r="I180" i="11"/>
  <c r="K179" i="11"/>
  <c r="I179" i="11"/>
  <c r="K178" i="11"/>
  <c r="I178" i="11"/>
  <c r="K177" i="11"/>
  <c r="I177" i="11"/>
  <c r="K176" i="11"/>
  <c r="I176" i="11"/>
  <c r="K175" i="11"/>
  <c r="I175" i="11"/>
  <c r="K174" i="11"/>
  <c r="I174" i="11"/>
  <c r="K173" i="11"/>
  <c r="I173" i="11"/>
  <c r="K172" i="11"/>
  <c r="I172" i="11"/>
  <c r="K171" i="11"/>
  <c r="I171" i="11"/>
  <c r="K170" i="11"/>
  <c r="I170" i="11"/>
  <c r="K169" i="11"/>
  <c r="I169" i="11"/>
  <c r="K168" i="11"/>
  <c r="I168" i="11"/>
  <c r="K167" i="11"/>
  <c r="I167" i="11"/>
  <c r="K166" i="11"/>
  <c r="I166" i="11"/>
  <c r="K165" i="11"/>
  <c r="I165" i="11"/>
  <c r="K164" i="11"/>
  <c r="I164" i="11"/>
  <c r="K163" i="11"/>
  <c r="I163" i="11"/>
  <c r="K162" i="11"/>
  <c r="I162" i="11"/>
  <c r="K161" i="11"/>
  <c r="I161" i="11"/>
  <c r="K160" i="11"/>
  <c r="I160" i="11"/>
  <c r="K159" i="11"/>
  <c r="I159" i="11"/>
  <c r="K158" i="11"/>
  <c r="I158" i="11"/>
  <c r="K157" i="11"/>
  <c r="I157" i="11"/>
  <c r="K156" i="11"/>
  <c r="I156" i="11"/>
  <c r="K155" i="11"/>
  <c r="I155" i="11"/>
  <c r="K154" i="11"/>
  <c r="I154" i="11"/>
  <c r="K153" i="11"/>
  <c r="I153" i="11"/>
  <c r="K152" i="11"/>
  <c r="I152" i="11"/>
  <c r="K151" i="11"/>
  <c r="I151" i="11"/>
  <c r="K150" i="11"/>
  <c r="I150" i="11"/>
  <c r="K149" i="11"/>
  <c r="I149" i="11"/>
  <c r="K148" i="11"/>
  <c r="I148" i="11"/>
  <c r="K147" i="11"/>
  <c r="I147" i="11"/>
  <c r="K146" i="11"/>
  <c r="I146" i="11"/>
  <c r="K145" i="11"/>
  <c r="I145" i="11"/>
  <c r="K144" i="11"/>
  <c r="I144" i="11"/>
  <c r="K143" i="11"/>
  <c r="I143" i="11"/>
  <c r="K142" i="11"/>
  <c r="I142" i="11"/>
  <c r="K141" i="11"/>
  <c r="I141" i="11"/>
  <c r="K140" i="11"/>
  <c r="I140" i="11"/>
  <c r="K139" i="11"/>
  <c r="I139" i="11"/>
  <c r="K138" i="11"/>
  <c r="I138" i="11"/>
  <c r="K137" i="11"/>
  <c r="I137" i="11"/>
  <c r="K136" i="11"/>
  <c r="I136" i="11"/>
  <c r="K135" i="11"/>
  <c r="I135" i="11"/>
  <c r="K134" i="11"/>
  <c r="I134" i="11"/>
  <c r="K133" i="11"/>
  <c r="I133" i="11"/>
  <c r="K132" i="11"/>
  <c r="I132" i="11"/>
  <c r="K131" i="11"/>
  <c r="I131" i="11"/>
  <c r="K130" i="11"/>
  <c r="I130" i="11"/>
  <c r="K129" i="11"/>
  <c r="I129" i="11"/>
  <c r="K128" i="11"/>
  <c r="I128" i="11"/>
  <c r="K127" i="11"/>
  <c r="I127" i="11"/>
  <c r="K126" i="11"/>
  <c r="I126" i="11"/>
  <c r="K125" i="11"/>
  <c r="I125" i="11"/>
  <c r="K124" i="11"/>
  <c r="I124" i="11"/>
  <c r="K123" i="11"/>
  <c r="I123" i="11"/>
  <c r="K122" i="11"/>
  <c r="I122" i="11"/>
  <c r="K121" i="11"/>
  <c r="I121" i="11"/>
  <c r="K120" i="11"/>
  <c r="I120" i="11"/>
  <c r="K119" i="11"/>
  <c r="I119" i="11"/>
  <c r="K118" i="11"/>
  <c r="I118" i="11"/>
  <c r="K117" i="11"/>
  <c r="I117" i="11"/>
  <c r="K116" i="11"/>
  <c r="I116" i="11"/>
  <c r="K115" i="11"/>
  <c r="I115" i="11"/>
  <c r="K114" i="11"/>
  <c r="I114" i="11"/>
  <c r="K113" i="11"/>
  <c r="I113" i="11"/>
  <c r="K112" i="11"/>
  <c r="I112" i="11"/>
  <c r="K111" i="11"/>
  <c r="I111" i="11"/>
  <c r="K110" i="11"/>
  <c r="I110" i="11"/>
  <c r="K109" i="11"/>
  <c r="I109" i="11"/>
  <c r="K108" i="11"/>
  <c r="I108" i="11"/>
  <c r="K107" i="11"/>
  <c r="I107" i="11"/>
  <c r="K106" i="11"/>
  <c r="I106" i="11"/>
  <c r="K105" i="11"/>
  <c r="I105" i="11"/>
  <c r="K104" i="11"/>
  <c r="I104" i="11"/>
  <c r="K103" i="11"/>
  <c r="I103" i="11"/>
  <c r="K102" i="11"/>
  <c r="I102" i="11"/>
  <c r="K101" i="11"/>
  <c r="I101" i="11"/>
  <c r="K100" i="11"/>
  <c r="I100" i="11"/>
  <c r="K99" i="11"/>
  <c r="I99" i="11"/>
  <c r="K98" i="11"/>
  <c r="I98" i="11"/>
  <c r="K97" i="11"/>
  <c r="I97" i="11"/>
  <c r="K96" i="11"/>
  <c r="I96" i="11"/>
  <c r="K95" i="11"/>
  <c r="I95" i="11"/>
  <c r="K94" i="11"/>
  <c r="I94" i="11"/>
  <c r="K93" i="11"/>
  <c r="I93" i="11"/>
  <c r="K92" i="11"/>
  <c r="I92" i="11"/>
  <c r="K91" i="11"/>
  <c r="I91" i="11"/>
  <c r="K90" i="11"/>
  <c r="I90" i="11"/>
  <c r="K89" i="11"/>
  <c r="I89" i="11"/>
  <c r="K88" i="11"/>
  <c r="I88" i="11"/>
  <c r="K87" i="11"/>
  <c r="I87" i="11"/>
  <c r="K86" i="11"/>
  <c r="I86" i="11"/>
  <c r="K85" i="11"/>
  <c r="I85" i="11"/>
  <c r="K84" i="11"/>
  <c r="I84" i="11"/>
  <c r="K83" i="11"/>
  <c r="I83" i="11"/>
  <c r="K82" i="11"/>
  <c r="I82" i="11"/>
  <c r="K81" i="11"/>
  <c r="I81" i="11"/>
  <c r="K80" i="11"/>
  <c r="I80" i="11"/>
  <c r="K79" i="11"/>
  <c r="I79" i="11"/>
  <c r="K78" i="11"/>
  <c r="I78" i="11"/>
  <c r="K77" i="11"/>
  <c r="I77" i="11"/>
  <c r="K76" i="11"/>
  <c r="I76" i="11"/>
  <c r="K75" i="11"/>
  <c r="I75" i="11"/>
  <c r="K74" i="11"/>
  <c r="I74" i="11"/>
  <c r="K73" i="11"/>
  <c r="I73" i="11"/>
  <c r="K72" i="11"/>
  <c r="I72" i="11"/>
  <c r="K71" i="11"/>
  <c r="I71" i="11"/>
  <c r="K70" i="11"/>
  <c r="I70" i="11"/>
  <c r="K69" i="11"/>
  <c r="I69" i="11"/>
  <c r="K68" i="11"/>
  <c r="I68" i="11"/>
  <c r="K67" i="11"/>
  <c r="I67" i="11"/>
  <c r="K66" i="11"/>
  <c r="I66" i="11"/>
  <c r="K65" i="11"/>
  <c r="I65" i="11"/>
  <c r="K64" i="11"/>
  <c r="I64" i="11"/>
  <c r="K63" i="11"/>
  <c r="I63" i="11"/>
  <c r="K62" i="11"/>
  <c r="I62" i="11"/>
  <c r="K61" i="11"/>
  <c r="I61" i="11"/>
  <c r="K60" i="11"/>
  <c r="I60" i="11"/>
  <c r="K59" i="11"/>
  <c r="I59" i="11"/>
  <c r="K58" i="11"/>
  <c r="I58" i="11"/>
  <c r="K57" i="11"/>
  <c r="I57" i="11"/>
  <c r="K56" i="11"/>
  <c r="I56" i="11"/>
  <c r="K55" i="11"/>
  <c r="I55" i="11"/>
  <c r="K54" i="11"/>
  <c r="I54" i="11"/>
  <c r="K53" i="11"/>
  <c r="I53" i="11"/>
  <c r="K52" i="11"/>
  <c r="I52" i="11"/>
  <c r="K51" i="11"/>
  <c r="I51" i="11"/>
  <c r="K50" i="11"/>
  <c r="I50" i="11"/>
  <c r="K49" i="11"/>
  <c r="I49" i="11"/>
  <c r="K48" i="11"/>
  <c r="I48" i="11"/>
  <c r="K47" i="11"/>
  <c r="I47" i="11"/>
  <c r="K46" i="11"/>
  <c r="I46" i="11"/>
  <c r="K45" i="11"/>
  <c r="I45" i="11"/>
  <c r="K44" i="11"/>
  <c r="I44" i="11"/>
  <c r="K43" i="11"/>
  <c r="I43" i="11"/>
  <c r="K42" i="11"/>
  <c r="I42" i="11"/>
  <c r="K41" i="11"/>
  <c r="I41" i="11"/>
  <c r="K40" i="11"/>
  <c r="I40" i="11"/>
  <c r="K39" i="11"/>
  <c r="I39" i="11"/>
  <c r="K38" i="11"/>
  <c r="I38" i="11"/>
  <c r="K37" i="11"/>
  <c r="I37" i="11"/>
  <c r="K36" i="11"/>
  <c r="I36" i="11"/>
  <c r="K35" i="11"/>
  <c r="I35" i="11"/>
  <c r="K34" i="11"/>
  <c r="I34" i="11"/>
  <c r="K33" i="11"/>
  <c r="I33" i="11"/>
  <c r="K32" i="11"/>
  <c r="I32" i="11"/>
  <c r="K31" i="11"/>
  <c r="I31" i="11"/>
  <c r="K30" i="11"/>
  <c r="I30" i="11"/>
  <c r="K29" i="11"/>
  <c r="I29" i="11"/>
  <c r="K28" i="11"/>
  <c r="I28" i="11"/>
  <c r="K27" i="11"/>
  <c r="I27" i="11"/>
  <c r="K26" i="11"/>
  <c r="I26" i="11"/>
  <c r="K25" i="11"/>
  <c r="I25" i="11"/>
  <c r="K24" i="11"/>
  <c r="I24" i="11"/>
  <c r="K23" i="11"/>
  <c r="I23" i="11"/>
  <c r="K22" i="11"/>
  <c r="I22" i="11"/>
  <c r="K21" i="11"/>
  <c r="I21" i="11"/>
  <c r="K20" i="11"/>
  <c r="I20" i="11"/>
  <c r="K19" i="11"/>
  <c r="I19" i="11"/>
  <c r="K18" i="11"/>
  <c r="I18" i="11"/>
  <c r="K17" i="11"/>
  <c r="I17" i="11"/>
  <c r="K16" i="11"/>
  <c r="I16" i="11"/>
  <c r="K15" i="11"/>
  <c r="I15" i="11"/>
  <c r="K14" i="11"/>
  <c r="I14" i="11"/>
  <c r="K13" i="11"/>
  <c r="I13" i="11"/>
  <c r="K12" i="11"/>
  <c r="I12" i="11"/>
  <c r="K11" i="11"/>
  <c r="I11" i="11"/>
  <c r="K10" i="11"/>
  <c r="I10" i="11"/>
  <c r="K9" i="11"/>
  <c r="I9" i="11"/>
  <c r="K8" i="11"/>
  <c r="I8" i="11"/>
  <c r="K7" i="11"/>
  <c r="I7" i="11"/>
  <c r="K6" i="11"/>
  <c r="I6" i="11"/>
  <c r="K5" i="11"/>
  <c r="I5" i="11"/>
  <c r="K4" i="11"/>
  <c r="I4" i="11"/>
  <c r="K3" i="11"/>
  <c r="I3" i="11"/>
  <c r="K2" i="11"/>
  <c r="I2" i="11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101" i="8"/>
  <c r="F101" i="8"/>
  <c r="S100" i="8"/>
  <c r="R100" i="8"/>
  <c r="P100" i="8"/>
  <c r="Q100" i="8"/>
  <c r="O100" i="8"/>
  <c r="N100" i="8"/>
  <c r="G100" i="8"/>
  <c r="F100" i="8"/>
  <c r="S99" i="8"/>
  <c r="R99" i="8"/>
  <c r="P99" i="8"/>
  <c r="Q99" i="8"/>
  <c r="O99" i="8"/>
  <c r="N99" i="8"/>
  <c r="G99" i="8"/>
  <c r="F99" i="8"/>
  <c r="S98" i="8"/>
  <c r="R98" i="8"/>
  <c r="P98" i="8"/>
  <c r="Q98" i="8"/>
  <c r="O98" i="8"/>
  <c r="N98" i="8"/>
  <c r="G98" i="8"/>
  <c r="F98" i="8"/>
  <c r="S97" i="8"/>
  <c r="R97" i="8"/>
  <c r="P97" i="8"/>
  <c r="Q97" i="8"/>
  <c r="O97" i="8"/>
  <c r="N97" i="8"/>
  <c r="G97" i="8"/>
  <c r="F97" i="8"/>
  <c r="S96" i="8"/>
  <c r="R96" i="8"/>
  <c r="P96" i="8"/>
  <c r="Q96" i="8"/>
  <c r="O96" i="8"/>
  <c r="N96" i="8"/>
  <c r="G96" i="8"/>
  <c r="F96" i="8"/>
  <c r="S95" i="8"/>
  <c r="R95" i="8"/>
  <c r="P95" i="8"/>
  <c r="Q95" i="8"/>
  <c r="O95" i="8"/>
  <c r="N95" i="8"/>
  <c r="G95" i="8"/>
  <c r="F95" i="8"/>
  <c r="S94" i="8"/>
  <c r="R94" i="8"/>
  <c r="P94" i="8"/>
  <c r="Q94" i="8"/>
  <c r="O94" i="8"/>
  <c r="N94" i="8"/>
  <c r="G94" i="8"/>
  <c r="F94" i="8"/>
  <c r="S93" i="8"/>
  <c r="R93" i="8"/>
  <c r="P93" i="8"/>
  <c r="Q93" i="8"/>
  <c r="O93" i="8"/>
  <c r="N93" i="8"/>
  <c r="G93" i="8"/>
  <c r="F93" i="8"/>
  <c r="S92" i="8"/>
  <c r="R92" i="8"/>
  <c r="P92" i="8"/>
  <c r="Q92" i="8"/>
  <c r="O92" i="8"/>
  <c r="N92" i="8"/>
  <c r="G92" i="8"/>
  <c r="F92" i="8"/>
  <c r="S91" i="8"/>
  <c r="R91" i="8"/>
  <c r="P91" i="8"/>
  <c r="Q91" i="8"/>
  <c r="O91" i="8"/>
  <c r="N91" i="8"/>
  <c r="G91" i="8"/>
  <c r="F91" i="8"/>
  <c r="S90" i="8"/>
  <c r="R90" i="8"/>
  <c r="P90" i="8"/>
  <c r="Q90" i="8"/>
  <c r="O90" i="8"/>
  <c r="N90" i="8"/>
  <c r="G90" i="8"/>
  <c r="F90" i="8"/>
  <c r="S89" i="8"/>
  <c r="R89" i="8"/>
  <c r="P89" i="8"/>
  <c r="Q89" i="8"/>
  <c r="O89" i="8"/>
  <c r="N89" i="8"/>
  <c r="G89" i="8"/>
  <c r="F89" i="8"/>
  <c r="S88" i="8"/>
  <c r="R88" i="8"/>
  <c r="P88" i="8"/>
  <c r="Q88" i="8"/>
  <c r="O88" i="8"/>
  <c r="N88" i="8"/>
  <c r="G88" i="8"/>
  <c r="F88" i="8"/>
  <c r="S87" i="8"/>
  <c r="R87" i="8"/>
  <c r="P87" i="8"/>
  <c r="Q87" i="8"/>
  <c r="O87" i="8"/>
  <c r="N87" i="8"/>
  <c r="G87" i="8"/>
  <c r="F87" i="8"/>
  <c r="S86" i="8"/>
  <c r="R86" i="8"/>
  <c r="P86" i="8"/>
  <c r="Q86" i="8"/>
  <c r="O86" i="8"/>
  <c r="N86" i="8"/>
  <c r="G86" i="8"/>
  <c r="F86" i="8"/>
  <c r="S85" i="8"/>
  <c r="R85" i="8"/>
  <c r="P85" i="8"/>
  <c r="Q85" i="8"/>
  <c r="O85" i="8"/>
  <c r="N85" i="8"/>
  <c r="G85" i="8"/>
  <c r="F85" i="8"/>
  <c r="S84" i="8"/>
  <c r="R84" i="8"/>
  <c r="P84" i="8"/>
  <c r="Q84" i="8"/>
  <c r="O84" i="8"/>
  <c r="N84" i="8"/>
  <c r="G84" i="8"/>
  <c r="F84" i="8"/>
  <c r="S83" i="8"/>
  <c r="R83" i="8"/>
  <c r="P83" i="8"/>
  <c r="Q83" i="8"/>
  <c r="O83" i="8"/>
  <c r="N83" i="8"/>
  <c r="G83" i="8"/>
  <c r="F83" i="8"/>
  <c r="S82" i="8"/>
  <c r="R82" i="8"/>
  <c r="P82" i="8"/>
  <c r="Q82" i="8"/>
  <c r="O82" i="8"/>
  <c r="N82" i="8"/>
  <c r="G82" i="8"/>
  <c r="F82" i="8"/>
  <c r="S81" i="8"/>
  <c r="R81" i="8"/>
  <c r="P81" i="8"/>
  <c r="Q81" i="8"/>
  <c r="O81" i="8"/>
  <c r="N81" i="8"/>
  <c r="G81" i="8"/>
  <c r="F81" i="8"/>
  <c r="S80" i="8"/>
  <c r="R80" i="8"/>
  <c r="P80" i="8"/>
  <c r="Q80" i="8"/>
  <c r="O80" i="8"/>
  <c r="N80" i="8"/>
  <c r="G80" i="8"/>
  <c r="F80" i="8"/>
  <c r="S79" i="8"/>
  <c r="R79" i="8"/>
  <c r="P79" i="8"/>
  <c r="Q79" i="8"/>
  <c r="O79" i="8"/>
  <c r="N79" i="8"/>
  <c r="G79" i="8"/>
  <c r="F79" i="8"/>
  <c r="S78" i="8"/>
  <c r="R78" i="8"/>
  <c r="P78" i="8"/>
  <c r="Q78" i="8"/>
  <c r="O78" i="8"/>
  <c r="N78" i="8"/>
  <c r="G78" i="8"/>
  <c r="F78" i="8"/>
  <c r="S77" i="8"/>
  <c r="R77" i="8"/>
  <c r="P77" i="8"/>
  <c r="Q77" i="8"/>
  <c r="O77" i="8"/>
  <c r="N77" i="8"/>
  <c r="G77" i="8"/>
  <c r="F77" i="8"/>
  <c r="S76" i="8"/>
  <c r="R76" i="8"/>
  <c r="P76" i="8"/>
  <c r="Q76" i="8"/>
  <c r="O76" i="8"/>
  <c r="N76" i="8"/>
  <c r="G76" i="8"/>
  <c r="F76" i="8"/>
  <c r="S75" i="8"/>
  <c r="R75" i="8"/>
  <c r="P75" i="8"/>
  <c r="Q75" i="8"/>
  <c r="O75" i="8"/>
  <c r="N75" i="8"/>
  <c r="G75" i="8"/>
  <c r="F75" i="8"/>
  <c r="S74" i="8"/>
  <c r="R74" i="8"/>
  <c r="P74" i="8"/>
  <c r="Q74" i="8"/>
  <c r="O74" i="8"/>
  <c r="N74" i="8"/>
  <c r="G74" i="8"/>
  <c r="F74" i="8"/>
  <c r="S73" i="8"/>
  <c r="R73" i="8"/>
  <c r="P73" i="8"/>
  <c r="Q73" i="8"/>
  <c r="O73" i="8"/>
  <c r="N73" i="8"/>
  <c r="G73" i="8"/>
  <c r="F73" i="8"/>
  <c r="S72" i="8"/>
  <c r="R72" i="8"/>
  <c r="P72" i="8"/>
  <c r="Q72" i="8"/>
  <c r="O72" i="8"/>
  <c r="N72" i="8"/>
  <c r="G72" i="8"/>
  <c r="F72" i="8"/>
  <c r="S71" i="8"/>
  <c r="R71" i="8"/>
  <c r="P71" i="8"/>
  <c r="Q71" i="8"/>
  <c r="O71" i="8"/>
  <c r="N71" i="8"/>
  <c r="G71" i="8"/>
  <c r="F71" i="8"/>
  <c r="S70" i="8"/>
  <c r="R70" i="8"/>
  <c r="P70" i="8"/>
  <c r="Q70" i="8"/>
  <c r="O70" i="8"/>
  <c r="N70" i="8"/>
  <c r="G70" i="8"/>
  <c r="F70" i="8"/>
  <c r="S69" i="8"/>
  <c r="R69" i="8"/>
  <c r="P69" i="8"/>
  <c r="Q69" i="8"/>
  <c r="O69" i="8"/>
  <c r="N69" i="8"/>
  <c r="G69" i="8"/>
  <c r="F69" i="8"/>
  <c r="S68" i="8"/>
  <c r="R68" i="8"/>
  <c r="P68" i="8"/>
  <c r="Q68" i="8"/>
  <c r="O68" i="8"/>
  <c r="N68" i="8"/>
  <c r="G68" i="8"/>
  <c r="F68" i="8"/>
  <c r="S67" i="8"/>
  <c r="R67" i="8"/>
  <c r="P67" i="8"/>
  <c r="Q67" i="8"/>
  <c r="O67" i="8"/>
  <c r="N67" i="8"/>
  <c r="G67" i="8"/>
  <c r="F67" i="8"/>
  <c r="S66" i="8"/>
  <c r="R66" i="8"/>
  <c r="P66" i="8"/>
  <c r="Q66" i="8"/>
  <c r="O66" i="8"/>
  <c r="N66" i="8"/>
  <c r="G66" i="8"/>
  <c r="F66" i="8"/>
  <c r="S65" i="8"/>
  <c r="R65" i="8"/>
  <c r="P65" i="8"/>
  <c r="Q65" i="8"/>
  <c r="O65" i="8"/>
  <c r="N65" i="8"/>
  <c r="G65" i="8"/>
  <c r="F65" i="8"/>
  <c r="S64" i="8"/>
  <c r="R64" i="8"/>
  <c r="P64" i="8"/>
  <c r="Q64" i="8"/>
  <c r="O64" i="8"/>
  <c r="N64" i="8"/>
  <c r="G64" i="8"/>
  <c r="F64" i="8"/>
  <c r="S63" i="8"/>
  <c r="R63" i="8"/>
  <c r="P63" i="8"/>
  <c r="Q63" i="8"/>
  <c r="O63" i="8"/>
  <c r="N63" i="8"/>
  <c r="G63" i="8"/>
  <c r="F63" i="8"/>
  <c r="S62" i="8"/>
  <c r="R62" i="8"/>
  <c r="P62" i="8"/>
  <c r="Q62" i="8"/>
  <c r="O62" i="8"/>
  <c r="N62" i="8"/>
  <c r="G62" i="8"/>
  <c r="F62" i="8"/>
  <c r="S61" i="8"/>
  <c r="R61" i="8"/>
  <c r="P61" i="8"/>
  <c r="Q61" i="8"/>
  <c r="O61" i="8"/>
  <c r="N61" i="8"/>
  <c r="G61" i="8"/>
  <c r="F61" i="8"/>
  <c r="S60" i="8"/>
  <c r="R60" i="8"/>
  <c r="P60" i="8"/>
  <c r="Q60" i="8"/>
  <c r="O60" i="8"/>
  <c r="N60" i="8"/>
  <c r="G60" i="8"/>
  <c r="F60" i="8"/>
  <c r="S59" i="8"/>
  <c r="R59" i="8"/>
  <c r="P59" i="8"/>
  <c r="Q59" i="8"/>
  <c r="O59" i="8"/>
  <c r="N59" i="8"/>
  <c r="G59" i="8"/>
  <c r="F59" i="8"/>
  <c r="S58" i="8"/>
  <c r="R58" i="8"/>
  <c r="P58" i="8"/>
  <c r="Q58" i="8"/>
  <c r="O58" i="8"/>
  <c r="N58" i="8"/>
  <c r="G58" i="8"/>
  <c r="F58" i="8"/>
  <c r="S57" i="8"/>
  <c r="R57" i="8"/>
  <c r="P57" i="8"/>
  <c r="Q57" i="8"/>
  <c r="O57" i="8"/>
  <c r="N57" i="8"/>
  <c r="G57" i="8"/>
  <c r="F57" i="8"/>
  <c r="S56" i="8"/>
  <c r="R56" i="8"/>
  <c r="P56" i="8"/>
  <c r="Q56" i="8"/>
  <c r="O56" i="8"/>
  <c r="N56" i="8"/>
  <c r="G56" i="8"/>
  <c r="F56" i="8"/>
  <c r="S55" i="8"/>
  <c r="R55" i="8"/>
  <c r="P55" i="8"/>
  <c r="Q55" i="8"/>
  <c r="O55" i="8"/>
  <c r="N55" i="8"/>
  <c r="G55" i="8"/>
  <c r="F55" i="8"/>
  <c r="S54" i="8"/>
  <c r="R54" i="8"/>
  <c r="P54" i="8"/>
  <c r="Q54" i="8"/>
  <c r="O54" i="8"/>
  <c r="N54" i="8"/>
  <c r="G54" i="8"/>
  <c r="F54" i="8"/>
  <c r="S53" i="8"/>
  <c r="R53" i="8"/>
  <c r="P53" i="8"/>
  <c r="Q53" i="8"/>
  <c r="O53" i="8"/>
  <c r="N53" i="8"/>
  <c r="G53" i="8"/>
  <c r="F53" i="8"/>
  <c r="S52" i="8"/>
  <c r="R52" i="8"/>
  <c r="P52" i="8"/>
  <c r="Q52" i="8"/>
  <c r="O52" i="8"/>
  <c r="N52" i="8"/>
  <c r="G52" i="8"/>
  <c r="F52" i="8"/>
  <c r="S51" i="8"/>
  <c r="R51" i="8"/>
  <c r="P51" i="8"/>
  <c r="Q51" i="8"/>
  <c r="O51" i="8"/>
  <c r="N51" i="8"/>
  <c r="G51" i="8"/>
  <c r="F51" i="8"/>
  <c r="S50" i="8"/>
  <c r="R50" i="8"/>
  <c r="P50" i="8"/>
  <c r="Q50" i="8"/>
  <c r="O50" i="8"/>
  <c r="N50" i="8"/>
  <c r="G50" i="8"/>
  <c r="F50" i="8"/>
  <c r="S49" i="8"/>
  <c r="R49" i="8"/>
  <c r="P49" i="8"/>
  <c r="Q49" i="8"/>
  <c r="O49" i="8"/>
  <c r="N49" i="8"/>
  <c r="G49" i="8"/>
  <c r="F49" i="8"/>
  <c r="S48" i="8"/>
  <c r="R48" i="8"/>
  <c r="P48" i="8"/>
  <c r="Q48" i="8"/>
  <c r="O48" i="8"/>
  <c r="N48" i="8"/>
  <c r="G48" i="8"/>
  <c r="F48" i="8"/>
  <c r="S47" i="8"/>
  <c r="R47" i="8"/>
  <c r="P47" i="8"/>
  <c r="Q47" i="8"/>
  <c r="O47" i="8"/>
  <c r="N47" i="8"/>
  <c r="G47" i="8"/>
  <c r="F47" i="8"/>
  <c r="S46" i="8"/>
  <c r="R46" i="8"/>
  <c r="P46" i="8"/>
  <c r="Q46" i="8"/>
  <c r="O46" i="8"/>
  <c r="N46" i="8"/>
  <c r="G46" i="8"/>
  <c r="F46" i="8"/>
  <c r="S45" i="8"/>
  <c r="R45" i="8"/>
  <c r="P45" i="8"/>
  <c r="Q45" i="8"/>
  <c r="O45" i="8"/>
  <c r="N45" i="8"/>
  <c r="G45" i="8"/>
  <c r="F45" i="8"/>
  <c r="S44" i="8"/>
  <c r="R44" i="8"/>
  <c r="P44" i="8"/>
  <c r="Q44" i="8"/>
  <c r="O44" i="8"/>
  <c r="N44" i="8"/>
  <c r="G44" i="8"/>
  <c r="F44" i="8"/>
  <c r="S43" i="8"/>
  <c r="R43" i="8"/>
  <c r="P43" i="8"/>
  <c r="Q43" i="8"/>
  <c r="O43" i="8"/>
  <c r="N43" i="8"/>
  <c r="G43" i="8"/>
  <c r="F43" i="8"/>
  <c r="S42" i="8"/>
  <c r="R42" i="8"/>
  <c r="P42" i="8"/>
  <c r="Q42" i="8"/>
  <c r="O42" i="8"/>
  <c r="N42" i="8"/>
  <c r="G42" i="8"/>
  <c r="F42" i="8"/>
  <c r="S41" i="8"/>
  <c r="R41" i="8"/>
  <c r="P41" i="8"/>
  <c r="Q41" i="8"/>
  <c r="O41" i="8"/>
  <c r="N41" i="8"/>
  <c r="G41" i="8"/>
  <c r="F41" i="8"/>
  <c r="S40" i="8"/>
  <c r="R40" i="8"/>
  <c r="P40" i="8"/>
  <c r="Q40" i="8"/>
  <c r="O40" i="8"/>
  <c r="N40" i="8"/>
  <c r="G40" i="8"/>
  <c r="F40" i="8"/>
  <c r="S39" i="8"/>
  <c r="R39" i="8"/>
  <c r="P39" i="8"/>
  <c r="Q39" i="8"/>
  <c r="O39" i="8"/>
  <c r="N39" i="8"/>
  <c r="G39" i="8"/>
  <c r="F39" i="8"/>
  <c r="S38" i="8"/>
  <c r="R38" i="8"/>
  <c r="P38" i="8"/>
  <c r="Q38" i="8"/>
  <c r="O38" i="8"/>
  <c r="N38" i="8"/>
  <c r="G38" i="8"/>
  <c r="F38" i="8"/>
  <c r="S37" i="8"/>
  <c r="R37" i="8"/>
  <c r="P37" i="8"/>
  <c r="Q37" i="8"/>
  <c r="O37" i="8"/>
  <c r="N37" i="8"/>
  <c r="G37" i="8"/>
  <c r="F37" i="8"/>
  <c r="S36" i="8"/>
  <c r="R36" i="8"/>
  <c r="P36" i="8"/>
  <c r="Q36" i="8"/>
  <c r="O36" i="8"/>
  <c r="N36" i="8"/>
  <c r="G36" i="8"/>
  <c r="F36" i="8"/>
  <c r="S35" i="8"/>
  <c r="R35" i="8"/>
  <c r="P35" i="8"/>
  <c r="Q35" i="8"/>
  <c r="O35" i="8"/>
  <c r="N35" i="8"/>
  <c r="G35" i="8"/>
  <c r="F35" i="8"/>
  <c r="S34" i="8"/>
  <c r="R34" i="8"/>
  <c r="P34" i="8"/>
  <c r="Q34" i="8"/>
  <c r="O34" i="8"/>
  <c r="N34" i="8"/>
  <c r="G34" i="8"/>
  <c r="F34" i="8"/>
  <c r="S33" i="8"/>
  <c r="R33" i="8"/>
  <c r="P33" i="8"/>
  <c r="Q33" i="8"/>
  <c r="O33" i="8"/>
  <c r="N33" i="8"/>
  <c r="G33" i="8"/>
  <c r="F33" i="8"/>
  <c r="S32" i="8"/>
  <c r="R32" i="8"/>
  <c r="P32" i="8"/>
  <c r="Q32" i="8"/>
  <c r="O32" i="8"/>
  <c r="N32" i="8"/>
  <c r="G32" i="8"/>
  <c r="F32" i="8"/>
  <c r="S31" i="8"/>
  <c r="R31" i="8"/>
  <c r="P31" i="8"/>
  <c r="Q31" i="8"/>
  <c r="O31" i="8"/>
  <c r="N31" i="8"/>
  <c r="G31" i="8"/>
  <c r="F31" i="8"/>
  <c r="S30" i="8"/>
  <c r="R30" i="8"/>
  <c r="P30" i="8"/>
  <c r="Q30" i="8"/>
  <c r="O30" i="8"/>
  <c r="N30" i="8"/>
  <c r="G30" i="8"/>
  <c r="F30" i="8"/>
  <c r="S29" i="8"/>
  <c r="R29" i="8"/>
  <c r="P29" i="8"/>
  <c r="Q29" i="8"/>
  <c r="O29" i="8"/>
  <c r="N29" i="8"/>
  <c r="G29" i="8"/>
  <c r="F29" i="8"/>
  <c r="S28" i="8"/>
  <c r="R28" i="8"/>
  <c r="P28" i="8"/>
  <c r="Q28" i="8"/>
  <c r="O28" i="8"/>
  <c r="N28" i="8"/>
  <c r="G28" i="8"/>
  <c r="F28" i="8"/>
  <c r="S27" i="8"/>
  <c r="R27" i="8"/>
  <c r="P27" i="8"/>
  <c r="Q27" i="8"/>
  <c r="O27" i="8"/>
  <c r="N27" i="8"/>
  <c r="G27" i="8"/>
  <c r="F27" i="8"/>
  <c r="S26" i="8"/>
  <c r="R26" i="8"/>
  <c r="P26" i="8"/>
  <c r="Q26" i="8"/>
  <c r="O26" i="8"/>
  <c r="N26" i="8"/>
  <c r="G26" i="8"/>
  <c r="F26" i="8"/>
  <c r="S25" i="8"/>
  <c r="R25" i="8"/>
  <c r="P25" i="8"/>
  <c r="Q25" i="8"/>
  <c r="O25" i="8"/>
  <c r="N25" i="8"/>
  <c r="G25" i="8"/>
  <c r="F25" i="8"/>
  <c r="S24" i="8"/>
  <c r="R24" i="8"/>
  <c r="P24" i="8"/>
  <c r="Q24" i="8"/>
  <c r="O24" i="8"/>
  <c r="N24" i="8"/>
  <c r="G24" i="8"/>
  <c r="F24" i="8"/>
  <c r="S23" i="8"/>
  <c r="R23" i="8"/>
  <c r="P23" i="8"/>
  <c r="Q23" i="8"/>
  <c r="O23" i="8"/>
  <c r="N23" i="8"/>
  <c r="G23" i="8"/>
  <c r="F23" i="8"/>
  <c r="S22" i="8"/>
  <c r="R22" i="8"/>
  <c r="P22" i="8"/>
  <c r="Q22" i="8"/>
  <c r="O22" i="8"/>
  <c r="N22" i="8"/>
  <c r="G22" i="8"/>
  <c r="F22" i="8"/>
  <c r="S21" i="8"/>
  <c r="R21" i="8"/>
  <c r="P21" i="8"/>
  <c r="Q21" i="8"/>
  <c r="O21" i="8"/>
  <c r="N21" i="8"/>
  <c r="G21" i="8"/>
  <c r="F21" i="8"/>
  <c r="S20" i="8"/>
  <c r="R20" i="8"/>
  <c r="P20" i="8"/>
  <c r="Q20" i="8"/>
  <c r="O20" i="8"/>
  <c r="N20" i="8"/>
  <c r="G20" i="8"/>
  <c r="F20" i="8"/>
  <c r="S19" i="8"/>
  <c r="R19" i="8"/>
  <c r="P19" i="8"/>
  <c r="Q19" i="8"/>
  <c r="O19" i="8"/>
  <c r="N19" i="8"/>
  <c r="G19" i="8"/>
  <c r="F19" i="8"/>
  <c r="S18" i="8"/>
  <c r="R18" i="8"/>
  <c r="P18" i="8"/>
  <c r="Q18" i="8"/>
  <c r="O18" i="8"/>
  <c r="N18" i="8"/>
  <c r="G18" i="8"/>
  <c r="F18" i="8"/>
  <c r="S17" i="8"/>
  <c r="R17" i="8"/>
  <c r="P17" i="8"/>
  <c r="Q17" i="8"/>
  <c r="O17" i="8"/>
  <c r="N17" i="8"/>
  <c r="G17" i="8"/>
  <c r="F17" i="8"/>
  <c r="S16" i="8"/>
  <c r="R16" i="8"/>
  <c r="P16" i="8"/>
  <c r="Q16" i="8"/>
  <c r="O16" i="8"/>
  <c r="N16" i="8"/>
  <c r="G16" i="8"/>
  <c r="F16" i="8"/>
  <c r="S15" i="8"/>
  <c r="R15" i="8"/>
  <c r="P15" i="8"/>
  <c r="Q15" i="8"/>
  <c r="O15" i="8"/>
  <c r="N15" i="8"/>
  <c r="G15" i="8"/>
  <c r="F15" i="8"/>
  <c r="S14" i="8"/>
  <c r="R14" i="8"/>
  <c r="P14" i="8"/>
  <c r="Q14" i="8"/>
  <c r="O14" i="8"/>
  <c r="N14" i="8"/>
  <c r="G14" i="8"/>
  <c r="F14" i="8"/>
  <c r="S13" i="8"/>
  <c r="R13" i="8"/>
  <c r="P13" i="8"/>
  <c r="Q13" i="8"/>
  <c r="O13" i="8"/>
  <c r="N13" i="8"/>
  <c r="G13" i="8"/>
  <c r="F13" i="8"/>
  <c r="S12" i="8"/>
  <c r="R12" i="8"/>
  <c r="P12" i="8"/>
  <c r="Q12" i="8"/>
  <c r="O12" i="8"/>
  <c r="N12" i="8"/>
  <c r="G12" i="8"/>
  <c r="F12" i="8"/>
  <c r="S11" i="8"/>
  <c r="R11" i="8"/>
  <c r="P11" i="8"/>
  <c r="Q11" i="8"/>
  <c r="O11" i="8"/>
  <c r="N11" i="8"/>
  <c r="G11" i="8"/>
  <c r="F11" i="8"/>
  <c r="S10" i="8"/>
  <c r="R10" i="8"/>
  <c r="P10" i="8"/>
  <c r="Q10" i="8"/>
  <c r="O10" i="8"/>
  <c r="N10" i="8"/>
  <c r="G10" i="8"/>
  <c r="F10" i="8"/>
  <c r="S9" i="8"/>
  <c r="R9" i="8"/>
  <c r="P9" i="8"/>
  <c r="Q9" i="8"/>
  <c r="O9" i="8"/>
  <c r="N9" i="8"/>
  <c r="G9" i="8"/>
  <c r="F9" i="8"/>
  <c r="S8" i="8"/>
  <c r="R8" i="8"/>
  <c r="P8" i="8"/>
  <c r="Q8" i="8"/>
  <c r="O8" i="8"/>
  <c r="N8" i="8"/>
  <c r="G8" i="8"/>
  <c r="F8" i="8"/>
  <c r="S7" i="8"/>
  <c r="R7" i="8"/>
  <c r="P7" i="8"/>
  <c r="Q7" i="8"/>
  <c r="O7" i="8"/>
  <c r="N7" i="8"/>
  <c r="G7" i="8"/>
  <c r="F7" i="8"/>
  <c r="S6" i="8"/>
  <c r="R6" i="8"/>
  <c r="P6" i="8"/>
  <c r="Q6" i="8"/>
  <c r="O6" i="8"/>
  <c r="N6" i="8"/>
  <c r="G6" i="8"/>
  <c r="F6" i="8"/>
  <c r="S5" i="8"/>
  <c r="R5" i="8"/>
  <c r="P5" i="8"/>
  <c r="Q5" i="8"/>
  <c r="O5" i="8"/>
  <c r="N5" i="8"/>
  <c r="G5" i="8"/>
  <c r="F5" i="8"/>
  <c r="S4" i="8"/>
  <c r="R4" i="8"/>
  <c r="P4" i="8"/>
  <c r="Q4" i="8"/>
  <c r="O4" i="8"/>
  <c r="N4" i="8"/>
  <c r="G4" i="8"/>
  <c r="F4" i="8"/>
  <c r="S3" i="8"/>
  <c r="R3" i="8"/>
  <c r="P3" i="8"/>
  <c r="Q3" i="8"/>
  <c r="O3" i="8"/>
  <c r="N3" i="8"/>
  <c r="G3" i="8"/>
  <c r="F3" i="8"/>
  <c r="S2" i="8"/>
  <c r="R2" i="8"/>
  <c r="P2" i="8"/>
  <c r="Q2" i="8"/>
  <c r="O2" i="8"/>
  <c r="N2" i="8"/>
  <c r="G2" i="8"/>
  <c r="F2" i="8"/>
  <c r="S1" i="8"/>
  <c r="R1" i="8"/>
  <c r="P1" i="8"/>
  <c r="Q1" i="8"/>
  <c r="O1" i="8"/>
  <c r="N1" i="8"/>
  <c r="F51" i="7"/>
  <c r="C51" i="7"/>
  <c r="G51" i="7"/>
  <c r="E51" i="7"/>
  <c r="D51" i="7"/>
  <c r="F50" i="7"/>
  <c r="C50" i="7"/>
  <c r="G50" i="7"/>
  <c r="E50" i="7"/>
  <c r="D50" i="7"/>
  <c r="F49" i="7"/>
  <c r="C49" i="7"/>
  <c r="G49" i="7"/>
  <c r="E49" i="7"/>
  <c r="D49" i="7"/>
  <c r="F48" i="7"/>
  <c r="C48" i="7"/>
  <c r="G48" i="7"/>
  <c r="E48" i="7"/>
  <c r="D48" i="7"/>
  <c r="F47" i="7"/>
  <c r="C47" i="7"/>
  <c r="G47" i="7"/>
  <c r="E47" i="7"/>
  <c r="D47" i="7"/>
  <c r="F46" i="7"/>
  <c r="C46" i="7"/>
  <c r="G46" i="7"/>
  <c r="E46" i="7"/>
  <c r="D46" i="7"/>
  <c r="F45" i="7"/>
  <c r="C45" i="7"/>
  <c r="G45" i="7"/>
  <c r="E45" i="7"/>
  <c r="D45" i="7"/>
  <c r="F44" i="7"/>
  <c r="C44" i="7"/>
  <c r="G44" i="7"/>
  <c r="E44" i="7"/>
  <c r="D44" i="7"/>
  <c r="F43" i="7"/>
  <c r="C43" i="7"/>
  <c r="G43" i="7"/>
  <c r="E43" i="7"/>
  <c r="D43" i="7"/>
  <c r="F42" i="7"/>
  <c r="C42" i="7"/>
  <c r="G42" i="7"/>
  <c r="E42" i="7"/>
  <c r="D42" i="7"/>
  <c r="F41" i="7"/>
  <c r="C41" i="7"/>
  <c r="G41" i="7"/>
  <c r="E41" i="7"/>
  <c r="D41" i="7"/>
  <c r="F40" i="7"/>
  <c r="C40" i="7"/>
  <c r="G40" i="7"/>
  <c r="E40" i="7"/>
  <c r="D40" i="7"/>
  <c r="F39" i="7"/>
  <c r="C39" i="7"/>
  <c r="G39" i="7"/>
  <c r="E39" i="7"/>
  <c r="D39" i="7"/>
  <c r="F38" i="7"/>
  <c r="C38" i="7"/>
  <c r="G38" i="7"/>
  <c r="E38" i="7"/>
  <c r="D38" i="7"/>
  <c r="F37" i="7"/>
  <c r="C37" i="7"/>
  <c r="G37" i="7"/>
  <c r="E37" i="7"/>
  <c r="D37" i="7"/>
  <c r="F36" i="7"/>
  <c r="C36" i="7"/>
  <c r="G36" i="7"/>
  <c r="E36" i="7"/>
  <c r="D36" i="7"/>
  <c r="F35" i="7"/>
  <c r="C35" i="7"/>
  <c r="G35" i="7"/>
  <c r="E35" i="7"/>
  <c r="D35" i="7"/>
  <c r="F34" i="7"/>
  <c r="C34" i="7"/>
  <c r="G34" i="7"/>
  <c r="E34" i="7"/>
  <c r="D34" i="7"/>
  <c r="F33" i="7"/>
  <c r="C33" i="7"/>
  <c r="G33" i="7"/>
  <c r="E33" i="7"/>
  <c r="D33" i="7"/>
  <c r="F32" i="7"/>
  <c r="C32" i="7"/>
  <c r="G32" i="7"/>
  <c r="E32" i="7"/>
  <c r="D32" i="7"/>
  <c r="F31" i="7"/>
  <c r="C31" i="7"/>
  <c r="G31" i="7"/>
  <c r="E31" i="7"/>
  <c r="D31" i="7"/>
  <c r="F30" i="7"/>
  <c r="C30" i="7"/>
  <c r="G30" i="7"/>
  <c r="E30" i="7"/>
  <c r="D30" i="7"/>
  <c r="F29" i="7"/>
  <c r="C29" i="7"/>
  <c r="G29" i="7"/>
  <c r="E29" i="7"/>
  <c r="D29" i="7"/>
  <c r="F28" i="7"/>
  <c r="C28" i="7"/>
  <c r="G28" i="7"/>
  <c r="E28" i="7"/>
  <c r="D28" i="7"/>
  <c r="F27" i="7"/>
  <c r="C27" i="7"/>
  <c r="G27" i="7"/>
  <c r="E27" i="7"/>
  <c r="D27" i="7"/>
  <c r="F26" i="7"/>
  <c r="C26" i="7"/>
  <c r="G26" i="7"/>
  <c r="E26" i="7"/>
  <c r="D26" i="7"/>
  <c r="F25" i="7"/>
  <c r="C25" i="7"/>
  <c r="G25" i="7"/>
  <c r="E25" i="7"/>
  <c r="D25" i="7"/>
  <c r="F24" i="7"/>
  <c r="C24" i="7"/>
  <c r="G24" i="7"/>
  <c r="E24" i="7"/>
  <c r="D24" i="7"/>
  <c r="F23" i="7"/>
  <c r="C23" i="7"/>
  <c r="G23" i="7"/>
  <c r="E23" i="7"/>
  <c r="D23" i="7"/>
  <c r="F22" i="7"/>
  <c r="C22" i="7"/>
  <c r="G22" i="7"/>
  <c r="E22" i="7"/>
  <c r="D22" i="7"/>
  <c r="F21" i="7"/>
  <c r="C21" i="7"/>
  <c r="G21" i="7"/>
  <c r="E21" i="7"/>
  <c r="D21" i="7"/>
  <c r="F20" i="7"/>
  <c r="C20" i="7"/>
  <c r="G20" i="7"/>
  <c r="E20" i="7"/>
  <c r="D20" i="7"/>
  <c r="F19" i="7"/>
  <c r="C19" i="7"/>
  <c r="G19" i="7"/>
  <c r="E19" i="7"/>
  <c r="D19" i="7"/>
  <c r="F18" i="7"/>
  <c r="C18" i="7"/>
  <c r="G18" i="7"/>
  <c r="E18" i="7"/>
  <c r="D18" i="7"/>
  <c r="F17" i="7"/>
  <c r="C17" i="7"/>
  <c r="G17" i="7"/>
  <c r="E17" i="7"/>
  <c r="D17" i="7"/>
  <c r="F16" i="7"/>
  <c r="C16" i="7"/>
  <c r="G16" i="7"/>
  <c r="E16" i="7"/>
  <c r="D16" i="7"/>
  <c r="F15" i="7"/>
  <c r="C15" i="7"/>
  <c r="G15" i="7"/>
  <c r="E15" i="7"/>
  <c r="D15" i="7"/>
  <c r="F14" i="7"/>
  <c r="C14" i="7"/>
  <c r="G14" i="7"/>
  <c r="E14" i="7"/>
  <c r="D14" i="7"/>
  <c r="F13" i="7"/>
  <c r="C13" i="7"/>
  <c r="G13" i="7"/>
  <c r="E13" i="7"/>
  <c r="D13" i="7"/>
  <c r="F12" i="7"/>
  <c r="C12" i="7"/>
  <c r="G12" i="7"/>
  <c r="E12" i="7"/>
  <c r="D12" i="7"/>
  <c r="F11" i="7"/>
  <c r="C11" i="7"/>
  <c r="G11" i="7"/>
  <c r="E11" i="7"/>
  <c r="D11" i="7"/>
  <c r="F10" i="7"/>
  <c r="C10" i="7"/>
  <c r="G10" i="7"/>
  <c r="E10" i="7"/>
  <c r="D10" i="7"/>
  <c r="F9" i="2"/>
  <c r="F17" i="2"/>
  <c r="F9" i="7"/>
  <c r="C9" i="7"/>
  <c r="G9" i="7"/>
  <c r="D9" i="7"/>
  <c r="E9" i="7"/>
  <c r="F8" i="2"/>
  <c r="F16" i="2"/>
  <c r="F8" i="7"/>
  <c r="C8" i="7"/>
  <c r="G8" i="7"/>
  <c r="D8" i="7"/>
  <c r="E8" i="7"/>
  <c r="F7" i="2"/>
  <c r="F15" i="2"/>
  <c r="F7" i="7"/>
  <c r="C7" i="7"/>
  <c r="G7" i="7"/>
  <c r="D7" i="7"/>
  <c r="E7" i="7"/>
  <c r="F6" i="2"/>
  <c r="F14" i="2"/>
  <c r="F6" i="7"/>
  <c r="C6" i="7"/>
  <c r="G6" i="7"/>
  <c r="D6" i="7"/>
  <c r="E6" i="7"/>
  <c r="F5" i="2"/>
  <c r="F13" i="2"/>
  <c r="F5" i="7"/>
  <c r="C5" i="7"/>
  <c r="G5" i="7"/>
  <c r="D5" i="7"/>
  <c r="E5" i="7"/>
  <c r="F4" i="2"/>
  <c r="F12" i="2"/>
  <c r="F4" i="7"/>
  <c r="C4" i="7"/>
  <c r="G4" i="7"/>
  <c r="D4" i="7"/>
  <c r="E4" i="7"/>
  <c r="F3" i="2"/>
  <c r="F3" i="7"/>
  <c r="C3" i="7"/>
  <c r="G3" i="7"/>
  <c r="D3" i="7"/>
  <c r="E3" i="7"/>
  <c r="F2" i="2"/>
  <c r="F2" i="7"/>
  <c r="C2" i="7"/>
  <c r="G2" i="7"/>
  <c r="D2" i="7"/>
  <c r="E2" i="7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B4" i="6"/>
  <c r="C4" i="6"/>
  <c r="D4" i="6"/>
  <c r="B3" i="6"/>
  <c r="C3" i="6"/>
  <c r="D3" i="6"/>
  <c r="B2" i="6"/>
  <c r="C2" i="6"/>
  <c r="D2" i="6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B27" i="1"/>
  <c r="B26" i="1"/>
  <c r="E25" i="1"/>
  <c r="B25" i="1"/>
  <c r="E24" i="1"/>
  <c r="B24" i="1"/>
  <c r="E23" i="1"/>
  <c r="B23" i="1"/>
  <c r="D20" i="1"/>
  <c r="D19" i="1"/>
  <c r="D18" i="1"/>
  <c r="D17" i="1"/>
  <c r="D16" i="1"/>
  <c r="D15" i="1"/>
  <c r="J10" i="1"/>
  <c r="G10" i="1"/>
  <c r="D10" i="1"/>
  <c r="A10" i="1"/>
  <c r="J6" i="1"/>
  <c r="G6" i="1"/>
  <c r="D6" i="1"/>
  <c r="A6" i="1"/>
</calcChain>
</file>

<file path=xl/sharedStrings.xml><?xml version="1.0" encoding="utf-8"?>
<sst xmlns="http://schemas.openxmlformats.org/spreadsheetml/2006/main" count="257" uniqueCount="119">
  <si>
    <t>TERRY BAKERS — PRODUCTION &amp; MANAGEMENT DASHBOARD</t>
  </si>
  <si>
    <t>Management overview | Production • Sales • Stock • Costs • Profit</t>
  </si>
  <si>
    <t>TOTAL SALES</t>
  </si>
  <si>
    <t>NET PROFIT</t>
  </si>
  <si>
    <t>CAKES SOLD</t>
  </si>
  <si>
    <t>CAKES IN STOCK</t>
  </si>
  <si>
    <t>INGREDIENT BALANCE</t>
  </si>
  <si>
    <t>INGREDIENT COST</t>
  </si>
  <si>
    <t>SALES RETURNS</t>
  </si>
  <si>
    <t>CUSTOMER OUTSTANDING</t>
  </si>
  <si>
    <t>OPERATIONAL SNAPSHOT</t>
  </si>
  <si>
    <t>MANAGEMENT FOCUS</t>
  </si>
  <si>
    <t>Total Ingredients Received</t>
  </si>
  <si>
    <t>• Monitor cakes in stock against daily demand.</t>
  </si>
  <si>
    <t>Total Ingredients Used</t>
  </si>
  <si>
    <t>• Review sales returns and damage values weekly.</t>
  </si>
  <si>
    <t>Total Cakes Produced</t>
  </si>
  <si>
    <t>• Track ingredient usage against production volume.</t>
  </si>
  <si>
    <t>Total Sales Returns</t>
  </si>
  <si>
    <t>• Follow up customer outstanding balances promptly.</t>
  </si>
  <si>
    <t>Total Damage Value</t>
  </si>
  <si>
    <t>• Compare sales and net profit each month.</t>
  </si>
  <si>
    <t>Average Profit Margin</t>
  </si>
  <si>
    <t>Metric</t>
  </si>
  <si>
    <t>Value</t>
  </si>
  <si>
    <t>Production Metric</t>
  </si>
  <si>
    <t>Quantity</t>
  </si>
  <si>
    <t>Sales</t>
  </si>
  <si>
    <t>Cakes Produced</t>
  </si>
  <si>
    <t>Net Profit</t>
  </si>
  <si>
    <t>Cakes Sold</t>
  </si>
  <si>
    <t>Ingredient Cost</t>
  </si>
  <si>
    <t>Cakes in Stock</t>
  </si>
  <si>
    <t>Sales Returns</t>
  </si>
  <si>
    <t>Damage Value</t>
  </si>
  <si>
    <t>Date</t>
  </si>
  <si>
    <t>Ingredient</t>
  </si>
  <si>
    <t>Unit</t>
  </si>
  <si>
    <t>Quantity In</t>
  </si>
  <si>
    <t>Cost/Unit</t>
  </si>
  <si>
    <t>Total Cost</t>
  </si>
  <si>
    <t>Supplier</t>
  </si>
  <si>
    <t>Batch/Reference</t>
  </si>
  <si>
    <t>Flour</t>
  </si>
  <si>
    <t>kg</t>
  </si>
  <si>
    <t>B0001</t>
  </si>
  <si>
    <t>Sobate</t>
  </si>
  <si>
    <t>Flavour</t>
  </si>
  <si>
    <t>Litre</t>
  </si>
  <si>
    <t>Eggs</t>
  </si>
  <si>
    <t>pcs</t>
  </si>
  <si>
    <t>Fat</t>
  </si>
  <si>
    <t>Sugar</t>
  </si>
  <si>
    <t>Glucose</t>
  </si>
  <si>
    <t>Packaging</t>
  </si>
  <si>
    <t>B0002</t>
  </si>
  <si>
    <t>Cake Type</t>
  </si>
  <si>
    <t>Quantity Used</t>
  </si>
  <si>
    <t>No. of Cakes</t>
  </si>
  <si>
    <t>Notes</t>
  </si>
  <si>
    <t>Queen cake</t>
  </si>
  <si>
    <t>Heart cake</t>
  </si>
  <si>
    <t>Product</t>
  </si>
  <si>
    <t>Batch</t>
  </si>
  <si>
    <t>Quantity(cake produced)</t>
  </si>
  <si>
    <t>Worker</t>
  </si>
  <si>
    <t>Production Hours</t>
  </si>
  <si>
    <t>Round cake</t>
  </si>
  <si>
    <t>Customer</t>
  </si>
  <si>
    <t>Quantity Sold</t>
  </si>
  <si>
    <t>Selling Price/Cake</t>
  </si>
  <si>
    <t>Sales Amount</t>
  </si>
  <si>
    <t>Payment Status</t>
  </si>
  <si>
    <t>Reference</t>
  </si>
  <si>
    <t>Total Produced</t>
  </si>
  <si>
    <t>Total Sold</t>
  </si>
  <si>
    <t>Cakes Balance</t>
  </si>
  <si>
    <t>Total In</t>
  </si>
  <si>
    <t>Total Used</t>
  </si>
  <si>
    <t>Ingredient Balance</t>
  </si>
  <si>
    <t>Total Cost In</t>
  </si>
  <si>
    <t>Average Cost/Unit</t>
  </si>
  <si>
    <t>Quantity Produced</t>
  </si>
  <si>
    <t>KG/Hour</t>
  </si>
  <si>
    <t>8KG Units</t>
  </si>
  <si>
    <t>John</t>
  </si>
  <si>
    <t>Invoice No.</t>
  </si>
  <si>
    <t>Quantity Returned</t>
  </si>
  <si>
    <t>Unit Cost</t>
  </si>
  <si>
    <t>Return Value</t>
  </si>
  <si>
    <t>Reason</t>
  </si>
  <si>
    <t>Quantity Damaged</t>
  </si>
  <si>
    <t>Department/Worker</t>
  </si>
  <si>
    <t>Approved By</t>
  </si>
  <si>
    <t>Customer ID</t>
  </si>
  <si>
    <t>Customer Name</t>
  </si>
  <si>
    <t>Phone</t>
  </si>
  <si>
    <t>Location</t>
  </si>
  <si>
    <t>Opening Balance</t>
  </si>
  <si>
    <t>Credit Limit</t>
  </si>
  <si>
    <t>Total Sales</t>
  </si>
  <si>
    <t>Payments</t>
  </si>
  <si>
    <t>Outstanding Balance</t>
  </si>
  <si>
    <t>Last Transaction Date</t>
  </si>
  <si>
    <t>Status</t>
  </si>
  <si>
    <t>Gross Sales</t>
  </si>
  <si>
    <t>Net Sales</t>
  </si>
  <si>
    <t>COGS/Production Cost</t>
  </si>
  <si>
    <t>Sales Damages</t>
  </si>
  <si>
    <t>Other Expenses</t>
  </si>
  <si>
    <t>Gross Profit</t>
  </si>
  <si>
    <t>Profit Margin %</t>
  </si>
  <si>
    <t>Opening Inventory</t>
  </si>
  <si>
    <t>Production Added</t>
  </si>
  <si>
    <t>Sales Deducted</t>
  </si>
  <si>
    <t>Sales Returns Added</t>
  </si>
  <si>
    <t>Damages Deducted</t>
  </si>
  <si>
    <t>Closing Inventory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</si>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</sst>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color rgb="FFFFFFFF"/>
      <name val="Calibri"/>
    </font>
    <font>
      <i/>
      <sz val="10"/>
      <color rgb="FF404040"/>
      <name val="Calibri"/>
    </font>
    <font>
      <b/>
      <sz val="10"/>
      <color rgb="FFFFFFFF"/>
      <name val="Calibri"/>
    </font>
    <font>
      <b/>
      <sz val="18"/>
      <color rgb="FF404040"/>
      <name val="Calibri"/>
    </font>
    <font>
      <b/>
      <sz val="12"/>
      <color rgb="FFFFFFFF"/>
      <name val="Calibri"/>
    </font>
    <font>
      <b/>
      <sz val="11"/>
      <color rgb="FF404040"/>
      <name val="Calibri"/>
    </font>
    <font>
      <b/>
      <sz val="11"/>
      <color rgb="FF1F4E78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C00000"/>
      </patternFill>
    </fill>
    <fill>
      <patternFill patternType="solid">
        <fgColor rgb="FFF4CCCC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6" fillId="0" borderId="0" xfId="0" applyFont="1"/>
    <xf numFmtId="16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4" fontId="0" fillId="0" borderId="0" xfId="0" applyNumberFormat="1"/>
    <xf numFmtId="10" fontId="0" fillId="0" borderId="0" xfId="0" applyNumberFormat="1"/>
    <xf numFmtId="0" fontId="7" fillId="4" borderId="2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5" fillId="0" borderId="0" xfId="0" applyFont="1"/>
    <xf numFmtId="4" fontId="16" fillId="0" borderId="6" xfId="0" applyNumberFormat="1" applyFont="1" applyBorder="1"/>
    <xf numFmtId="165" fontId="16" fillId="0" borderId="6" xfId="0" applyNumberFormat="1" applyFont="1" applyBorder="1"/>
    <xf numFmtId="0" fontId="0" fillId="16" borderId="6" xfId="0" applyFill="1" applyBorder="1" applyAlignment="1">
      <alignment vertical="center" wrapText="1"/>
    </xf>
    <xf numFmtId="0" fontId="0" fillId="0" borderId="0" xfId="0"/>
    <xf numFmtId="4" fontId="13" fillId="7" borderId="5" xfId="0" applyNumberFormat="1" applyFont="1" applyFill="1" applyBorder="1" applyAlignment="1">
      <alignment horizontal="center" vertical="center"/>
    </xf>
    <xf numFmtId="0" fontId="0" fillId="0" borderId="5" xfId="0" applyBorder="1"/>
    <xf numFmtId="4" fontId="13" fillId="11" borderId="5" xfId="0" applyNumberFormat="1" applyFont="1" applyFill="1" applyBorder="1" applyAlignment="1">
      <alignment horizontal="center" vertical="center"/>
    </xf>
    <xf numFmtId="0" fontId="15" fillId="16" borderId="6" xfId="0" applyFont="1" applyFill="1" applyBorder="1"/>
    <xf numFmtId="0" fontId="11" fillId="3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4" fontId="13" fillId="13" borderId="5" xfId="0" applyNumberFormat="1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4" fontId="13" fillId="15" borderId="5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4" fontId="13" fillId="9" borderId="5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12" fillId="10" borderId="5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Financial Overview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Dashboard!B22</c:f>
            </c:strRef>
          </c:tx>
          <c:spPr>
            <a:ln>
              <a:prstDash val="solid"/>
            </a:ln>
          </c:spPr>
          <c:invertIfNegative val="1"/>
          <c:cat>
            <c:strRef>
              <c:f>Dashboard!$A$23:$A$27</c:f>
            </c:strRef>
          </c:cat>
          <c:val>
            <c:numRef>
              <c:f>Dashboard!$B$23:$B$27</c:f>
            </c:numRef>
          </c:val>
          <c:extLst>
            <c:ext xmlns:c16="http://schemas.microsoft.com/office/drawing/2014/chart" uri="{C3380CC4-5D6E-409C-BE32-E72D297353CC}">
              <c16:uniqueId val="{00000000-D2B7-6D41-A4C5-F7E3D88EB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Metric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Production vs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Dashboard!E22</c:f>
            </c:strRef>
          </c:tx>
          <c:spPr>
            <a:ln>
              <a:prstDash val="solid"/>
            </a:ln>
          </c:spPr>
          <c:invertIfNegative val="1"/>
          <c:cat>
            <c:strRef>
              <c:f>Dashboard!$D$23:$D$25</c:f>
            </c:strRef>
          </c:cat>
          <c:val>
            <c:numRef>
              <c:f>Dashboard!$E$23:$E$25</c:f>
            </c:numRef>
          </c:val>
          <c:extLst>
            <c:ext xmlns:c16="http://schemas.microsoft.com/office/drawing/2014/chart" uri="{C3380CC4-5D6E-409C-BE32-E72D297353CC}">
              <c16:uniqueId val="{00000000-2963-8E42-ACD1-55C534916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Production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Quantity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InTable" displayName="IngredientsInTable" ref="A1:H101">
  <autoFilter ref="A1:H101" xr:uid="{00000000-0009-0000-0100-000001000000}"/>
  <tableColumns count="8">
    <tableColumn id="1" xr3:uid="{00000000-0010-0000-0000-000001000000}" name="Date"/>
    <tableColumn id="2" xr3:uid="{00000000-0010-0000-0000-000002000000}" name="Ingredient"/>
    <tableColumn id="3" xr3:uid="{00000000-0010-0000-0000-000003000000}" name="Unit"/>
    <tableColumn id="4" xr3:uid="{00000000-0010-0000-0000-000004000000}" name="Quantity In"/>
    <tableColumn id="5" xr3:uid="{00000000-0010-0000-0000-000005000000}" name="Cost/Unit"/>
    <tableColumn id="6" xr3:uid="{00000000-0010-0000-0000-000006000000}" name="Total Cost">
      <calculatedColumnFormula>IF(OR(D2="",E2=""),"",D2*E2)</calculatedColumnFormula>
    </tableColumn>
    <tableColumn id="7" xr3:uid="{00000000-0010-0000-0000-000007000000}" name="Supplier"/>
    <tableColumn id="8" xr3:uid="{00000000-0010-0000-0000-000008000000}" name="Batch/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gredientsUsedTable" displayName="IngredientsUsedTable" ref="A1:H101">
  <autoFilter ref="A1:H101" xr:uid="{00000000-0009-0000-0100-000002000000}"/>
  <tableColumns count="8">
    <tableColumn id="1" xr3:uid="{00000000-0010-0000-0100-000001000000}" name="Date"/>
    <tableColumn id="2" xr3:uid="{00000000-0010-0000-0100-000002000000}" name="Cake Type"/>
    <tableColumn id="3" xr3:uid="{00000000-0010-0000-0100-000003000000}" name="Ingredient"/>
    <tableColumn id="4" xr3:uid="{00000000-0010-0000-0100-000004000000}" name="Unit"/>
    <tableColumn id="5" xr3:uid="{00000000-0010-0000-0100-000005000000}" name="Quantity Used"/>
    <tableColumn id="6" xr3:uid="{00000000-0010-0000-0100-000006000000}" name="No. of Cakes"/>
    <tableColumn id="7" xr3:uid="{00000000-0010-0000-0100-000007000000}" name="Batch/Reference"/>
    <tableColumn id="8" xr3:uid="{00000000-0010-0000-0100-000008000000}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kesProducedTable" displayName="CakesProducedTable" ref="A1:G101">
  <autoFilter ref="A1:G101" xr:uid="{00000000-0009-0000-0100-000003000000}"/>
  <tableColumns count="7">
    <tableColumn id="1" xr3:uid="{00000000-0010-0000-0200-000001000000}" name="Date"/>
    <tableColumn id="2" xr3:uid="{00000000-0010-0000-0200-000002000000}" name="Product"/>
    <tableColumn id="3" xr3:uid="{00000000-0010-0000-0200-000003000000}" name="Batch"/>
    <tableColumn id="4" xr3:uid="{00000000-0010-0000-0200-000004000000}" name="Quantity(cake produced)"/>
    <tableColumn id="5" xr3:uid="{00000000-0010-0000-0200-000005000000}" name="Worker"/>
    <tableColumn id="6" xr3:uid="{00000000-0010-0000-0200-000006000000}" name="Production Hours"/>
    <tableColumn id="7" xr3:uid="{00000000-0010-0000-0200-000007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kesSoldTable" displayName="CakesSoldTable" ref="A1:H101">
  <autoFilter ref="A1:H101" xr:uid="{00000000-0009-0000-0100-000004000000}"/>
  <tableColumns count="8">
    <tableColumn id="1" xr3:uid="{00000000-0010-0000-0300-000001000000}" name="Date"/>
    <tableColumn id="2" xr3:uid="{00000000-0010-0000-0300-000002000000}" name="Product"/>
    <tableColumn id="3" xr3:uid="{00000000-0010-0000-0300-000003000000}" name="Customer"/>
    <tableColumn id="4" xr3:uid="{00000000-0010-0000-0300-000004000000}" name="Quantity Sold"/>
    <tableColumn id="5" xr3:uid="{00000000-0010-0000-0300-000005000000}" name="Selling Price/Cake"/>
    <tableColumn id="6" xr3:uid="{00000000-0010-0000-0300-000006000000}" name="Sales Amount">
      <calculatedColumnFormula>IF(OR(D2="",E2=""),"",D2*E2)</calculatedColumnFormula>
    </tableColumn>
    <tableColumn id="7" xr3:uid="{00000000-0010-0000-0300-000007000000}" name="Payment Status"/>
    <tableColumn id="8" xr3:uid="{00000000-0010-0000-0300-000008000000}" name="Referenc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keBalanceTable" displayName="CakeBalanceTable" ref="A1:D51">
  <autoFilter ref="A1:D51" xr:uid="{00000000-0009-0000-0100-000005000000}"/>
  <tableColumns count="4">
    <tableColumn id="1" xr3:uid="{00000000-0010-0000-0400-000001000000}" name="Cake Type"/>
    <tableColumn id="2" xr3:uid="{00000000-0010-0000-0400-000002000000}" name="Total Produced">
      <calculatedColumnFormula>IF(A2="","",SUMIF(Production!B:B,A2,Production!D:D))</calculatedColumnFormula>
    </tableColumn>
    <tableColumn id="3" xr3:uid="{00000000-0010-0000-0400-000003000000}" name="Total Sold">
      <calculatedColumnFormula>IF(A2="","",SUMIF(Sales!B:B,A2,Sales!D:D))</calculatedColumnFormula>
    </tableColumn>
    <tableColumn id="4" xr3:uid="{00000000-0010-0000-0400-000004000000}" name="Cakes Balance">
      <calculatedColumnFormula>IF(A2="","",B2-C2)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lancesTable" displayName="BalancesTable" ref="A1:G51">
  <autoFilter ref="A1:G51" xr:uid="{00000000-0009-0000-0100-000006000000}"/>
  <tableColumns count="7">
    <tableColumn id="1" xr3:uid="{00000000-0010-0000-0500-000001000000}" name="Ingredient"/>
    <tableColumn id="2" xr3:uid="{00000000-0010-0000-0500-000002000000}" name="Unit"/>
    <tableColumn id="3" xr3:uid="{00000000-0010-0000-0500-000003000000}" name="Total In">
      <calculatedColumnFormula>IF(A2="","",SUMIF('Ingredients In(Purchases)'!B:B,A2,'Ingredients In(Purchases)'!D:D))</calculatedColumnFormula>
    </tableColumn>
    <tableColumn id="4" xr3:uid="{00000000-0010-0000-0500-000004000000}" name="Total Used">
      <calculatedColumnFormula>IF(A2="","",SUMIF('Ingredients Used'!C:C,A2,'Ingredients Used'!E:E))</calculatedColumnFormula>
    </tableColumn>
    <tableColumn id="5" xr3:uid="{00000000-0010-0000-0500-000005000000}" name="Ingredient Balance">
      <calculatedColumnFormula>IF(A2="","",C2-D2)</calculatedColumnFormula>
    </tableColumn>
    <tableColumn id="6" xr3:uid="{00000000-0010-0000-0500-000006000000}" name="Total Cost In">
      <calculatedColumnFormula>IF(A2="","",SUMIF('Ingredients In(Purchases)'!B:B,A2,'Ingredients In(Purchases)'!F:F))</calculatedColumnFormula>
    </tableColumn>
    <tableColumn id="7" xr3:uid="{00000000-0010-0000-0500-000007000000}" name="Average Cost/Unit">
      <calculatedColumnFormula>IFERROR(F2/C2,"")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orkerProductionTable" displayName="WorkerProductionTable" ref="A1:G101">
  <autoFilter ref="A1:G101" xr:uid="{00000000-0009-0000-0100-000007000000}"/>
  <tableColumns count="7">
    <tableColumn id="1" xr3:uid="{00000000-0010-0000-0600-000001000000}" name="Date"/>
    <tableColumn id="2" xr3:uid="{00000000-0010-0000-0600-000002000000}" name="Worker"/>
    <tableColumn id="3" xr3:uid="{00000000-0010-0000-0600-000003000000}" name="Product"/>
    <tableColumn id="4" xr3:uid="{00000000-0010-0000-0600-000004000000}" name="Quantity Produced"/>
    <tableColumn id="5" xr3:uid="{00000000-0010-0000-0600-000005000000}" name="Production Hours"/>
    <tableColumn id="6" xr3:uid="{00000000-0010-0000-0600-000006000000}" name="KG/Hour" dataDxfId="4">
      <calculatedColumnFormula>IF(OR(D2="",E2=""),"",D2/E2)</calculatedColumnFormula>
    </tableColumn>
    <tableColumn id="7" xr3:uid="{00000000-0010-0000-0600-000007000000}" name="8KG Units" dataDxfId="3">
      <calculatedColumnFormula>IF(D2="","",D2/8)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lesReturnsTable" displayName="SalesReturnsTable" ref="A1:H201">
  <autoFilter ref="A1:H201" xr:uid="{00000000-0009-0000-0100-000008000000}"/>
  <tableColumns count="8">
    <tableColumn id="1" xr3:uid="{00000000-0010-0000-0700-000001000000}" name="Date"/>
    <tableColumn id="2" xr3:uid="{00000000-0010-0000-0700-000002000000}" name="Customer"/>
    <tableColumn id="3" xr3:uid="{00000000-0010-0000-0700-000003000000}" name="Invoice No."/>
    <tableColumn id="4" xr3:uid="{00000000-0010-0000-0700-000004000000}" name="Product"/>
    <tableColumn id="5" xr3:uid="{00000000-0010-0000-0700-000005000000}" name="Quantity Returned"/>
    <tableColumn id="6" xr3:uid="{00000000-0010-0000-0700-000006000000}" name="Unit Cost"/>
    <tableColumn id="7" xr3:uid="{00000000-0010-0000-0700-000007000000}" name="Return Value"/>
    <tableColumn id="8" xr3:uid="{00000000-0010-0000-0700-000008000000}" name="Reas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alesDamagesTable" displayName="SalesDamagesTable" ref="A1:H201">
  <autoFilter ref="A1:H201" xr:uid="{00000000-0009-0000-0100-000009000000}"/>
  <tableColumns count="8">
    <tableColumn id="1" xr3:uid="{00000000-0010-0000-0800-000001000000}" name="Date"/>
    <tableColumn id="2" xr3:uid="{00000000-0010-0000-0800-000002000000}" name="Product"/>
    <tableColumn id="3" xr3:uid="{00000000-0010-0000-0800-000003000000}" name="Quantity Damaged"/>
    <tableColumn id="4" xr3:uid="{00000000-0010-0000-0800-000004000000}" name="Unit Cost"/>
    <tableColumn id="5" xr3:uid="{00000000-0010-0000-0800-000005000000}" name="Damage Value"/>
    <tableColumn id="6" xr3:uid="{00000000-0010-0000-0800-000006000000}" name="Reason"/>
    <tableColumn id="7" xr3:uid="{00000000-0010-0000-0800-000007000000}" name="Department/Worker"/>
    <tableColumn id="8" xr3:uid="{00000000-0010-0000-0800-000008000000}" name="Approved B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ustomerTable" displayName="CustomerTable" ref="A1:K201">
  <autoFilter ref="A1:K201" xr:uid="{00000000-0009-0000-0100-00000A000000}"/>
  <tableColumns count="11">
    <tableColumn id="1" xr3:uid="{00000000-0010-0000-0900-000001000000}" name="Customer ID"/>
    <tableColumn id="2" xr3:uid="{00000000-0010-0000-0900-000002000000}" name="Customer Name"/>
    <tableColumn id="3" xr3:uid="{00000000-0010-0000-0900-000003000000}" name="Phone"/>
    <tableColumn id="4" xr3:uid="{00000000-0010-0000-0900-000004000000}" name="Location"/>
    <tableColumn id="5" xr3:uid="{00000000-0010-0000-0900-000005000000}" name="Opening Balance"/>
    <tableColumn id="6" xr3:uid="{00000000-0010-0000-0900-000006000000}" name="Credit Limit"/>
    <tableColumn id="7" xr3:uid="{00000000-0010-0000-0900-000007000000}" name="Total Sales"/>
    <tableColumn id="8" xr3:uid="{00000000-0010-0000-0900-000008000000}" name="Payments"/>
    <tableColumn id="9" xr3:uid="{00000000-0010-0000-0900-000009000000}" name="Outstanding Balance"/>
    <tableColumn id="10" xr3:uid="{00000000-0010-0000-0900-00000A000000}" name="Last Transaction Date"/>
    <tableColumn id="11" xr3:uid="{00000000-0010-0000-0900-00000B000000}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ilyProfitTable" displayName="DailyProfitTable" ref="A1:J366">
  <autoFilter ref="A1:J366" xr:uid="{00000000-0009-0000-0100-00000B000000}"/>
  <tableColumns count="10">
    <tableColumn id="1" xr3:uid="{00000000-0010-0000-0A00-000001000000}" name="Date"/>
    <tableColumn id="2" xr3:uid="{00000000-0010-0000-0A00-000002000000}" name="Gross Sales"/>
    <tableColumn id="3" xr3:uid="{00000000-0010-0000-0A00-000003000000}" name="Sales Returns"/>
    <tableColumn id="4" xr3:uid="{00000000-0010-0000-0A00-000004000000}" name="Net Sales"/>
    <tableColumn id="5" xr3:uid="{00000000-0010-0000-0A00-000005000000}" name="COGS/Production Cost"/>
    <tableColumn id="6" xr3:uid="{00000000-0010-0000-0A00-000006000000}" name="Sales Damages"/>
    <tableColumn id="7" xr3:uid="{00000000-0010-0000-0A00-000007000000}" name="Other Expenses"/>
    <tableColumn id="8" xr3:uid="{00000000-0010-0000-0A00-000008000000}" name="Gross Profit"/>
    <tableColumn id="9" xr3:uid="{00000000-0010-0000-0A00-000009000000}" name="Net Profit"/>
    <tableColumn id="10" xr3:uid="{00000000-0010-0000-0A00-00000A000000}" name="Profit Margin %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InventorySummaryTable" displayName="InventorySummaryTable" ref="A1:G201">
  <autoFilter ref="A1:G201" xr:uid="{00000000-0009-0000-0100-00000C000000}"/>
  <tableColumns count="7">
    <tableColumn id="1" xr3:uid="{00000000-0010-0000-0B00-000001000000}" name="Product"/>
    <tableColumn id="2" xr3:uid="{00000000-0010-0000-0B00-000002000000}" name="Opening Inventory"/>
    <tableColumn id="3" xr3:uid="{00000000-0010-0000-0B00-000003000000}" name="Production Added"/>
    <tableColumn id="4" xr3:uid="{00000000-0010-0000-0B00-000004000000}" name="Sales Deducted"/>
    <tableColumn id="5" xr3:uid="{00000000-0010-0000-0B00-000005000000}" name="Sales Returns Added"/>
    <tableColumn id="6" xr3:uid="{00000000-0010-0000-0B00-000006000000}" name="Damages Deducted"/>
    <tableColumn id="7" xr3:uid="{00000000-0010-0000-0B00-000007000000}" name="Closing Invent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showGridLines="0" tabSelected="1" zoomScale="90" zoomScaleNormal="90" workbookViewId="0">
      <pane ySplit="4" topLeftCell="A5" activePane="bottomLeft" state="frozen"/>
      <selection pane="bottomLeft" activeCell="D3" sqref="D3"/>
    </sheetView>
  </sheetViews>
  <sheetFormatPr defaultColWidth="9.01171875" defaultRowHeight="15" x14ac:dyDescent="0.2"/>
  <cols>
    <col min="1" max="1" width="18.96484375" style="17" customWidth="1"/>
    <col min="2" max="3" width="13.046875" style="17" customWidth="1"/>
    <col min="4" max="4" width="18.96484375" style="17" customWidth="1"/>
    <col min="5" max="6" width="13.046875" style="17" customWidth="1"/>
    <col min="7" max="8" width="18.96484375" style="17" customWidth="1"/>
    <col min="9" max="9" width="13.046875" style="17" customWidth="1"/>
    <col min="10" max="10" width="18.96484375" style="17" customWidth="1"/>
    <col min="11" max="14" width="13.046875" style="17" customWidth="1"/>
  </cols>
  <sheetData>
    <row r="1" spans="1:14" ht="30" customHeight="1" x14ac:dyDescent="0.2">
      <c r="A1" s="39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0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1.95" customHeight="1" x14ac:dyDescent="0.2">
      <c r="A3" s="28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1:14" ht="21.95" customHeight="1" x14ac:dyDescent="0.2">
      <c r="A4" s="4"/>
      <c r="B4" s="5"/>
      <c r="C4" s="4"/>
      <c r="D4" s="6"/>
      <c r="E4" s="4"/>
      <c r="F4" s="5"/>
    </row>
    <row r="5" spans="1:14" ht="21.95" customHeight="1" x14ac:dyDescent="0.2">
      <c r="A5" s="34" t="s">
        <v>2</v>
      </c>
      <c r="B5" s="25"/>
      <c r="C5" s="25"/>
      <c r="D5" s="32" t="s">
        <v>3</v>
      </c>
      <c r="E5" s="25"/>
      <c r="F5" s="25"/>
      <c r="G5" s="38" t="s">
        <v>4</v>
      </c>
      <c r="H5" s="25"/>
      <c r="I5" s="25"/>
      <c r="J5" s="40" t="s">
        <v>5</v>
      </c>
      <c r="K5" s="25"/>
      <c r="L5" s="25"/>
    </row>
    <row r="6" spans="1:14" ht="21.95" customHeight="1" x14ac:dyDescent="0.2">
      <c r="A6" s="24">
        <f>Dashboard!E3</f>
        <v>0</v>
      </c>
      <c r="B6" s="25"/>
      <c r="C6" s="25"/>
      <c r="D6" s="36">
        <f>Dashboard!E12</f>
        <v>0</v>
      </c>
      <c r="E6" s="25"/>
      <c r="F6" s="25"/>
      <c r="G6" s="26">
        <f>Dashboard!C4</f>
        <v>0</v>
      </c>
      <c r="H6" s="25"/>
      <c r="I6" s="25"/>
      <c r="J6" s="31">
        <f>Dashboard!C5</f>
        <v>0</v>
      </c>
      <c r="K6" s="25"/>
      <c r="L6" s="25"/>
    </row>
    <row r="7" spans="1:14" ht="21.95" customHeight="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4" ht="21.95" customHeight="1" x14ac:dyDescent="0.25">
      <c r="E8" s="12"/>
    </row>
    <row r="9" spans="1:14" ht="21.95" customHeight="1" x14ac:dyDescent="0.2">
      <c r="A9" s="34" t="s">
        <v>6</v>
      </c>
      <c r="B9" s="25"/>
      <c r="C9" s="25"/>
      <c r="D9" s="38" t="s">
        <v>7</v>
      </c>
      <c r="E9" s="25"/>
      <c r="F9" s="25"/>
      <c r="G9" s="35" t="s">
        <v>8</v>
      </c>
      <c r="H9" s="25"/>
      <c r="I9" s="25"/>
      <c r="J9" s="40" t="s">
        <v>9</v>
      </c>
      <c r="K9" s="25"/>
      <c r="L9" s="25"/>
    </row>
    <row r="10" spans="1:14" ht="21.95" customHeight="1" x14ac:dyDescent="0.2">
      <c r="A10" s="24" t="str">
        <f>Dashboard!A5</f>
        <v>TOTAL SALES</v>
      </c>
      <c r="B10" s="25"/>
      <c r="C10" s="25"/>
      <c r="D10" s="26">
        <f>Dashboard!E4</f>
        <v>0</v>
      </c>
      <c r="E10" s="25"/>
      <c r="F10" s="25"/>
      <c r="G10" s="33">
        <f>Dashboard!E9</f>
        <v>0</v>
      </c>
      <c r="H10" s="25"/>
      <c r="I10" s="25"/>
      <c r="J10" s="31">
        <f>Dashboard!E11</f>
        <v>0</v>
      </c>
      <c r="K10" s="25"/>
      <c r="L10" s="25"/>
    </row>
    <row r="11" spans="1:14" ht="21.95" customHeight="1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4" ht="21.95" customHeight="1" x14ac:dyDescent="0.2">
      <c r="E12" s="13"/>
      <c r="F12" s="14"/>
    </row>
    <row r="13" spans="1:14" ht="21.95" customHeight="1" x14ac:dyDescent="0.2">
      <c r="E13" s="13"/>
      <c r="F13" s="15"/>
    </row>
    <row r="14" spans="1:14" ht="21.95" customHeight="1" x14ac:dyDescent="0.2">
      <c r="A14" s="37" t="s">
        <v>10</v>
      </c>
      <c r="B14" s="23"/>
      <c r="C14" s="23"/>
      <c r="D14" s="23"/>
      <c r="E14" s="23"/>
      <c r="F14" s="23"/>
      <c r="H14" s="37" t="s">
        <v>11</v>
      </c>
      <c r="I14" s="23"/>
      <c r="J14" s="23"/>
      <c r="K14" s="23"/>
      <c r="L14" s="23"/>
      <c r="M14" s="23"/>
      <c r="N14" s="23"/>
    </row>
    <row r="15" spans="1:14" ht="21.95" customHeight="1" x14ac:dyDescent="0.2">
      <c r="A15" s="27" t="s">
        <v>12</v>
      </c>
      <c r="B15" s="23"/>
      <c r="C15" s="23"/>
      <c r="D15" s="20" t="str">
        <f>Dashboard!A3</f>
        <v>Management overview | Production • Sales • Stock • Costs • Profit</v>
      </c>
      <c r="H15" s="22" t="s">
        <v>13</v>
      </c>
      <c r="I15" s="23"/>
      <c r="J15" s="23"/>
      <c r="K15" s="23"/>
      <c r="L15" s="23"/>
      <c r="M15" s="23"/>
      <c r="N15" s="23"/>
    </row>
    <row r="16" spans="1:14" ht="21.95" customHeight="1" x14ac:dyDescent="0.2">
      <c r="A16" s="27" t="s">
        <v>14</v>
      </c>
      <c r="B16" s="23"/>
      <c r="C16" s="23"/>
      <c r="D16" s="20">
        <f>Dashboard!A4</f>
        <v>0</v>
      </c>
      <c r="H16" s="22" t="s">
        <v>15</v>
      </c>
      <c r="I16" s="23"/>
      <c r="J16" s="23"/>
      <c r="K16" s="23"/>
      <c r="L16" s="23"/>
      <c r="M16" s="23"/>
      <c r="N16" s="23"/>
    </row>
    <row r="17" spans="1:14" ht="21.95" customHeight="1" x14ac:dyDescent="0.2">
      <c r="A17" s="27" t="s">
        <v>16</v>
      </c>
      <c r="B17" s="23"/>
      <c r="C17" s="23"/>
      <c r="D17" s="20">
        <f>Dashboard!C3</f>
        <v>0</v>
      </c>
      <c r="H17" s="22" t="s">
        <v>17</v>
      </c>
      <c r="I17" s="23"/>
      <c r="J17" s="23"/>
      <c r="K17" s="23"/>
      <c r="L17" s="23"/>
      <c r="M17" s="23"/>
      <c r="N17" s="23"/>
    </row>
    <row r="18" spans="1:14" ht="21.95" customHeight="1" x14ac:dyDescent="0.2">
      <c r="A18" s="27" t="s">
        <v>18</v>
      </c>
      <c r="B18" s="23"/>
      <c r="C18" s="23"/>
      <c r="D18" s="20">
        <f>Dashboard!E9</f>
        <v>0</v>
      </c>
      <c r="H18" s="22" t="s">
        <v>19</v>
      </c>
      <c r="I18" s="23"/>
      <c r="J18" s="23"/>
      <c r="K18" s="23"/>
      <c r="L18" s="23"/>
      <c r="M18" s="23"/>
      <c r="N18" s="23"/>
    </row>
    <row r="19" spans="1:14" ht="21.95" customHeight="1" x14ac:dyDescent="0.2">
      <c r="A19" s="27" t="s">
        <v>20</v>
      </c>
      <c r="B19" s="23"/>
      <c r="C19" s="23"/>
      <c r="D19" s="20">
        <f>Dashboard!E10</f>
        <v>0</v>
      </c>
      <c r="H19" s="22" t="s">
        <v>21</v>
      </c>
      <c r="I19" s="23"/>
      <c r="J19" s="23"/>
      <c r="K19" s="23"/>
      <c r="L19" s="23"/>
      <c r="M19" s="23"/>
      <c r="N19" s="23"/>
    </row>
    <row r="20" spans="1:14" ht="21.95" customHeight="1" x14ac:dyDescent="0.2">
      <c r="A20" s="27" t="s">
        <v>22</v>
      </c>
      <c r="B20" s="23"/>
      <c r="C20" s="23"/>
      <c r="D20" s="21">
        <f>Dashboard!E13</f>
        <v>0</v>
      </c>
    </row>
    <row r="21" spans="1:14" ht="21.95" customHeight="1" x14ac:dyDescent="0.2"/>
    <row r="22" spans="1:14" ht="21.95" hidden="1" customHeight="1" x14ac:dyDescent="0.2">
      <c r="A22" t="s">
        <v>23</v>
      </c>
      <c r="B22" t="s">
        <v>24</v>
      </c>
      <c r="D22" t="s">
        <v>25</v>
      </c>
      <c r="E22" t="s">
        <v>26</v>
      </c>
    </row>
    <row r="23" spans="1:14" ht="21.95" hidden="1" customHeight="1" x14ac:dyDescent="0.2">
      <c r="A23" t="s">
        <v>27</v>
      </c>
      <c r="B23">
        <f>Dashboard!E3</f>
        <v>0</v>
      </c>
      <c r="D23" t="s">
        <v>28</v>
      </c>
      <c r="E23">
        <f>Dashboard!C3</f>
        <v>0</v>
      </c>
    </row>
    <row r="24" spans="1:14" ht="21.95" hidden="1" customHeight="1" x14ac:dyDescent="0.2">
      <c r="A24" t="s">
        <v>29</v>
      </c>
      <c r="B24">
        <f>Dashboard!E12</f>
        <v>0</v>
      </c>
      <c r="D24" t="s">
        <v>30</v>
      </c>
      <c r="E24">
        <f>Dashboard!C4</f>
        <v>0</v>
      </c>
    </row>
    <row r="25" spans="1:14" ht="21.95" hidden="1" customHeight="1" x14ac:dyDescent="0.2">
      <c r="A25" s="7" t="s">
        <v>31</v>
      </c>
      <c r="B25">
        <f>Dashboard!E4</f>
        <v>0</v>
      </c>
      <c r="D25" t="s">
        <v>32</v>
      </c>
      <c r="E25">
        <f>Dashboard!C5</f>
        <v>0</v>
      </c>
    </row>
    <row r="26" spans="1:14" ht="21.95" hidden="1" customHeight="1" x14ac:dyDescent="0.2">
      <c r="A26" t="s">
        <v>33</v>
      </c>
      <c r="B26">
        <f>Dashboard!E9</f>
        <v>0</v>
      </c>
    </row>
    <row r="27" spans="1:14" ht="21.95" hidden="1" customHeight="1" x14ac:dyDescent="0.2">
      <c r="A27" t="s">
        <v>34</v>
      </c>
      <c r="B27">
        <f>Dashboard!E10</f>
        <v>0</v>
      </c>
    </row>
    <row r="28" spans="1:14" ht="21.95" customHeight="1" x14ac:dyDescent="0.2"/>
    <row r="29" spans="1:14" ht="21.95" customHeight="1" x14ac:dyDescent="0.2"/>
    <row r="30" spans="1:14" ht="21.95" customHeight="1" x14ac:dyDescent="0.2"/>
    <row r="31" spans="1:14" ht="21.95" customHeight="1" x14ac:dyDescent="0.2">
      <c r="A31" s="18"/>
    </row>
    <row r="32" spans="1:14" ht="21.95" customHeight="1" x14ac:dyDescent="0.2">
      <c r="A32" s="18"/>
    </row>
    <row r="33" ht="21.95" customHeight="1" x14ac:dyDescent="0.2"/>
    <row r="34" ht="21.95" customHeight="1" x14ac:dyDescent="0.2"/>
    <row r="35" ht="21.95" customHeight="1" x14ac:dyDescent="0.2"/>
    <row r="36" ht="21.95" customHeight="1" x14ac:dyDescent="0.2"/>
    <row r="37" ht="21.95" customHeight="1" x14ac:dyDescent="0.2"/>
    <row r="38" ht="21.95" customHeight="1" x14ac:dyDescent="0.2"/>
    <row r="39" ht="21.95" customHeight="1" x14ac:dyDescent="0.2"/>
    <row r="40" ht="21.95" customHeight="1" x14ac:dyDescent="0.2"/>
    <row r="41" ht="21.95" customHeight="1" x14ac:dyDescent="0.2"/>
    <row r="42" ht="21.95" customHeight="1" x14ac:dyDescent="0.2"/>
  </sheetData>
  <mergeCells count="31">
    <mergeCell ref="A1:N2"/>
    <mergeCell ref="J5:L5"/>
    <mergeCell ref="G6:I7"/>
    <mergeCell ref="H17:N17"/>
    <mergeCell ref="H16:N16"/>
    <mergeCell ref="J9:L9"/>
    <mergeCell ref="A16:C16"/>
    <mergeCell ref="D9:F9"/>
    <mergeCell ref="A20:C20"/>
    <mergeCell ref="A6:C7"/>
    <mergeCell ref="A3:N3"/>
    <mergeCell ref="J6:L7"/>
    <mergeCell ref="A19:C19"/>
    <mergeCell ref="D5:F5"/>
    <mergeCell ref="G10:I11"/>
    <mergeCell ref="A9:C9"/>
    <mergeCell ref="G9:I9"/>
    <mergeCell ref="A15:C15"/>
    <mergeCell ref="D6:F7"/>
    <mergeCell ref="H14:N14"/>
    <mergeCell ref="A5:C5"/>
    <mergeCell ref="G5:I5"/>
    <mergeCell ref="J10:L11"/>
    <mergeCell ref="A14:F14"/>
    <mergeCell ref="H19:N19"/>
    <mergeCell ref="A10:C11"/>
    <mergeCell ref="D10:F11"/>
    <mergeCell ref="A18:C18"/>
    <mergeCell ref="H15:N15"/>
    <mergeCell ref="H18:N18"/>
    <mergeCell ref="A17:C17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pane ySplit="1" topLeftCell="A8" activePane="bottomLeft" state="frozen"/>
      <selection pane="bottomLeft" activeCell="L9" sqref="L9"/>
    </sheetView>
  </sheetViews>
  <sheetFormatPr defaultColWidth="9.01171875" defaultRowHeight="15" x14ac:dyDescent="0.2"/>
  <cols>
    <col min="1" max="3" width="11.97265625" style="17" customWidth="1"/>
    <col min="4" max="4" width="13.046875" style="17" customWidth="1"/>
    <col min="5" max="5" width="11.97265625" style="17" customWidth="1"/>
    <col min="6" max="6" width="27.98046875" style="17" customWidth="1"/>
    <col min="7" max="7" width="11.97265625" style="17" customWidth="1"/>
    <col min="8" max="8" width="16.94921875" style="17" customWidth="1"/>
  </cols>
  <sheetData>
    <row r="1" spans="1:8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">
      <c r="A2" s="2"/>
      <c r="B2" s="2" t="s">
        <v>43</v>
      </c>
      <c r="C2" s="2" t="s">
        <v>44</v>
      </c>
      <c r="D2" s="2">
        <v>10</v>
      </c>
      <c r="E2" s="3">
        <v>200</v>
      </c>
      <c r="F2" s="3">
        <f>IF(OR(D2="",E2=""),"",D2*E2)</f>
        <v>2000</v>
      </c>
      <c r="G2" s="2"/>
      <c r="H2" s="2" t="s">
        <v>45</v>
      </c>
    </row>
    <row r="3" spans="1:8" x14ac:dyDescent="0.2">
      <c r="A3" s="2"/>
      <c r="B3" s="2" t="s">
        <v>46</v>
      </c>
      <c r="C3" s="2" t="s">
        <v>44</v>
      </c>
      <c r="D3" s="2">
        <v>20</v>
      </c>
      <c r="E3" s="3">
        <v>150</v>
      </c>
      <c r="F3" s="3">
        <f>IF(OR(D3="",E3=""),"",D3*E3)</f>
        <v>3000</v>
      </c>
      <c r="G3" s="2"/>
      <c r="H3" s="2" t="s">
        <v>45</v>
      </c>
    </row>
    <row r="4" spans="1:8" x14ac:dyDescent="0.2">
      <c r="A4" s="2"/>
      <c r="B4" s="2" t="s">
        <v>47</v>
      </c>
      <c r="C4" s="2" t="s">
        <v>48</v>
      </c>
      <c r="D4" s="2">
        <v>20</v>
      </c>
      <c r="E4" s="3">
        <v>150</v>
      </c>
      <c r="F4" s="3">
        <f>IF(OR(D4="",E4=""),"",D4*E4)</f>
        <v>3000</v>
      </c>
      <c r="G4" s="2"/>
      <c r="H4" s="2" t="s">
        <v>45</v>
      </c>
    </row>
    <row r="5" spans="1:8" x14ac:dyDescent="0.2">
      <c r="A5" s="2"/>
      <c r="B5" s="2" t="s">
        <v>49</v>
      </c>
      <c r="C5" s="2" t="s">
        <v>50</v>
      </c>
      <c r="D5" s="2">
        <v>30</v>
      </c>
      <c r="E5" s="3">
        <v>450</v>
      </c>
      <c r="F5" s="3">
        <f>IF(OR(D5="",E5=""),"",D5*E5)</f>
        <v>13500</v>
      </c>
      <c r="G5" s="2"/>
      <c r="H5" s="2" t="s">
        <v>45</v>
      </c>
    </row>
    <row r="6" spans="1:8" x14ac:dyDescent="0.2">
      <c r="A6" s="2"/>
      <c r="B6" s="2" t="s">
        <v>51</v>
      </c>
      <c r="C6" s="2" t="s">
        <v>44</v>
      </c>
      <c r="D6" s="2">
        <v>30</v>
      </c>
      <c r="E6" s="3">
        <v>200</v>
      </c>
      <c r="F6" s="3">
        <f>IF(OR(D6="",E6=""),"",D6*E6)</f>
        <v>6000</v>
      </c>
      <c r="G6" s="2"/>
      <c r="H6" s="2" t="s">
        <v>45</v>
      </c>
    </row>
    <row r="7" spans="1:8" x14ac:dyDescent="0.2">
      <c r="A7" s="2"/>
      <c r="B7" s="2" t="s">
        <v>52</v>
      </c>
      <c r="C7" s="2" t="s">
        <v>44</v>
      </c>
      <c r="D7" s="2">
        <v>50</v>
      </c>
      <c r="E7" s="3">
        <v>150</v>
      </c>
      <c r="F7" s="3">
        <f>IF(OR(D7="",E7=""),"",D7*E7)</f>
        <v>7500</v>
      </c>
      <c r="G7" s="2"/>
      <c r="H7" s="2" t="s">
        <v>45</v>
      </c>
    </row>
    <row r="8" spans="1:8" x14ac:dyDescent="0.2">
      <c r="A8" s="2"/>
      <c r="B8" s="2" t="s">
        <v>53</v>
      </c>
      <c r="C8" s="2" t="s">
        <v>44</v>
      </c>
      <c r="D8" s="2">
        <v>50</v>
      </c>
      <c r="E8" s="3">
        <v>100</v>
      </c>
      <c r="F8" s="3">
        <f>IF(OR(D8="",E8=""),"",D8*E8)</f>
        <v>5000</v>
      </c>
      <c r="G8" s="2"/>
      <c r="H8" s="2" t="s">
        <v>45</v>
      </c>
    </row>
    <row r="9" spans="1:8" x14ac:dyDescent="0.2">
      <c r="A9" s="2"/>
      <c r="B9" s="2" t="s">
        <v>54</v>
      </c>
      <c r="C9" s="2" t="s">
        <v>50</v>
      </c>
      <c r="D9" s="2">
        <v>60</v>
      </c>
      <c r="E9" s="3">
        <v>150</v>
      </c>
      <c r="F9" s="3">
        <f>IF(OR(D9="",E9=""),"",D9*E9)</f>
        <v>9000</v>
      </c>
      <c r="G9" s="2"/>
      <c r="H9" s="2" t="s">
        <v>45</v>
      </c>
    </row>
    <row r="10" spans="1:8" x14ac:dyDescent="0.2">
      <c r="A10" s="2"/>
      <c r="B10" s="2" t="s">
        <v>43</v>
      </c>
      <c r="C10" s="2"/>
      <c r="D10" s="2"/>
      <c r="E10" s="3"/>
      <c r="F10" s="3"/>
      <c r="G10" s="2"/>
      <c r="H10" s="2" t="s">
        <v>55</v>
      </c>
    </row>
    <row r="11" spans="1:8" x14ac:dyDescent="0.2">
      <c r="A11" s="2"/>
      <c r="B11" s="2" t="s">
        <v>46</v>
      </c>
      <c r="C11" s="2"/>
      <c r="D11" s="2"/>
      <c r="E11" s="3"/>
      <c r="F11" s="3"/>
      <c r="G11" s="2"/>
      <c r="H11" s="2" t="s">
        <v>55</v>
      </c>
    </row>
    <row r="12" spans="1:8" x14ac:dyDescent="0.2">
      <c r="A12" s="2"/>
      <c r="B12" s="2" t="s">
        <v>47</v>
      </c>
      <c r="C12" s="2"/>
      <c r="D12" s="2"/>
      <c r="E12" s="3"/>
      <c r="F12" s="3" t="str">
        <f>IF(OR(D12="",E12=""),"",D12*E12)</f>
        <v/>
      </c>
      <c r="G12" s="2"/>
      <c r="H12" s="2" t="s">
        <v>55</v>
      </c>
    </row>
    <row r="13" spans="1:8" x14ac:dyDescent="0.2">
      <c r="A13" s="2"/>
      <c r="B13" s="2" t="s">
        <v>49</v>
      </c>
      <c r="C13" s="2"/>
      <c r="D13" s="2"/>
      <c r="E13" s="3"/>
      <c r="F13" s="3" t="str">
        <f>IF(OR(D13="",E13=""),"",D13*E13)</f>
        <v/>
      </c>
      <c r="G13" s="2"/>
      <c r="H13" s="2" t="s">
        <v>55</v>
      </c>
    </row>
    <row r="14" spans="1:8" x14ac:dyDescent="0.2">
      <c r="A14" s="2"/>
      <c r="B14" s="2" t="s">
        <v>51</v>
      </c>
      <c r="C14" s="2"/>
      <c r="D14" s="2"/>
      <c r="E14" s="3"/>
      <c r="F14" s="3" t="str">
        <f>IF(OR(D14="",E14=""),"",D14*E14)</f>
        <v/>
      </c>
      <c r="G14" s="2"/>
      <c r="H14" s="2" t="s">
        <v>55</v>
      </c>
    </row>
    <row r="15" spans="1:8" x14ac:dyDescent="0.2">
      <c r="A15" s="2"/>
      <c r="B15" s="2" t="s">
        <v>52</v>
      </c>
      <c r="C15" s="2"/>
      <c r="D15" s="2"/>
      <c r="E15" s="3"/>
      <c r="F15" s="3" t="str">
        <f>IF(OR(D15="",E15=""),"",D15*E15)</f>
        <v/>
      </c>
      <c r="G15" s="2"/>
      <c r="H15" s="2" t="s">
        <v>55</v>
      </c>
    </row>
    <row r="16" spans="1:8" x14ac:dyDescent="0.2">
      <c r="A16" s="2"/>
      <c r="B16" s="2" t="s">
        <v>53</v>
      </c>
      <c r="C16" s="2"/>
      <c r="D16" s="2"/>
      <c r="E16" s="3"/>
      <c r="F16" s="3" t="str">
        <f>IF(OR(D16="",E16=""),"",D16*E16)</f>
        <v/>
      </c>
      <c r="G16" s="2"/>
      <c r="H16" s="2" t="s">
        <v>55</v>
      </c>
    </row>
    <row r="17" spans="1:8" x14ac:dyDescent="0.2">
      <c r="A17" s="2"/>
      <c r="B17" s="2" t="s">
        <v>54</v>
      </c>
      <c r="C17" s="2"/>
      <c r="D17" s="2"/>
      <c r="E17" s="3"/>
      <c r="F17" s="3" t="str">
        <f>IF(OR(D17="",E17=""),"",D17*E17)</f>
        <v/>
      </c>
      <c r="G17" s="2"/>
      <c r="H17" s="2" t="s">
        <v>55</v>
      </c>
    </row>
    <row r="18" spans="1:8" x14ac:dyDescent="0.2">
      <c r="A18" s="2"/>
      <c r="B18" s="2"/>
      <c r="C18" s="2"/>
      <c r="D18" s="2"/>
      <c r="E18" s="3"/>
      <c r="F18" s="3" t="str">
        <f>IF(OR(D18="",E18=""),"",D18*E18)</f>
        <v/>
      </c>
      <c r="G18" s="2"/>
      <c r="H18" s="2"/>
    </row>
    <row r="19" spans="1:8" x14ac:dyDescent="0.2">
      <c r="A19" s="2"/>
      <c r="B19" s="2"/>
      <c r="C19" s="2"/>
      <c r="D19" s="2"/>
      <c r="E19" s="3"/>
      <c r="F19" s="3" t="str">
        <f>IF(OR(D19="",E19=""),"",D19*E19)</f>
        <v/>
      </c>
      <c r="G19" s="2"/>
      <c r="H19" s="2"/>
    </row>
    <row r="20" spans="1:8" x14ac:dyDescent="0.2">
      <c r="A20" s="2"/>
      <c r="B20" s="2"/>
      <c r="C20" s="2"/>
      <c r="D20" s="2"/>
      <c r="E20" s="3"/>
      <c r="F20" s="3" t="str">
        <f>IF(OR(D20="",E20=""),"",D20*E20)</f>
        <v/>
      </c>
      <c r="G20" s="2"/>
      <c r="H20" s="2"/>
    </row>
    <row r="21" spans="1:8" x14ac:dyDescent="0.2">
      <c r="A21" s="2"/>
      <c r="B21" s="2"/>
      <c r="C21" s="2"/>
      <c r="D21" s="2"/>
      <c r="E21" s="3"/>
      <c r="F21" s="3" t="str">
        <f>IF(OR(D21="",E21=""),"",D21*E21)</f>
        <v/>
      </c>
      <c r="G21" s="2"/>
      <c r="H21" s="2"/>
    </row>
    <row r="22" spans="1:8" x14ac:dyDescent="0.2">
      <c r="A22" s="2"/>
      <c r="B22" s="2"/>
      <c r="C22" s="2"/>
      <c r="D22" s="2"/>
      <c r="E22" s="3"/>
      <c r="F22" s="3" t="str">
        <f>IF(OR(D22="",E22=""),"",D22*E22)</f>
        <v/>
      </c>
      <c r="G22" s="2"/>
      <c r="H22" s="2"/>
    </row>
    <row r="23" spans="1:8" x14ac:dyDescent="0.2">
      <c r="A23" s="2"/>
      <c r="B23" s="2"/>
      <c r="C23" s="2"/>
      <c r="D23" s="2"/>
      <c r="E23" s="3"/>
      <c r="F23" s="3" t="str">
        <f>IF(OR(D23="",E23=""),"",D23*E23)</f>
        <v/>
      </c>
      <c r="G23" s="2"/>
      <c r="H23" s="2"/>
    </row>
    <row r="24" spans="1:8" x14ac:dyDescent="0.2">
      <c r="A24" s="2"/>
      <c r="B24" s="2"/>
      <c r="C24" s="2"/>
      <c r="D24" s="2"/>
      <c r="E24" s="3"/>
      <c r="F24" s="3" t="str">
        <f>IF(OR(D24="",E24=""),"",D24*E24)</f>
        <v/>
      </c>
      <c r="G24" s="2"/>
      <c r="H24" s="2"/>
    </row>
    <row r="25" spans="1:8" x14ac:dyDescent="0.2">
      <c r="A25" s="2"/>
      <c r="B25" s="2"/>
      <c r="C25" s="2"/>
      <c r="D25" s="2"/>
      <c r="E25" s="3"/>
      <c r="F25" s="3" t="str">
        <f>IF(OR(D25="",E25=""),"",D25*E25)</f>
        <v/>
      </c>
      <c r="G25" s="2"/>
      <c r="H25" s="2"/>
    </row>
    <row r="26" spans="1:8" x14ac:dyDescent="0.2">
      <c r="A26" s="2"/>
      <c r="B26" s="2"/>
      <c r="C26" s="2"/>
      <c r="D26" s="2"/>
      <c r="E26" s="3"/>
      <c r="F26" s="3" t="str">
        <f>IF(OR(D26="",E26=""),"",D26*E26)</f>
        <v/>
      </c>
      <c r="G26" s="2"/>
      <c r="H26" s="2"/>
    </row>
    <row r="27" spans="1:8" x14ac:dyDescent="0.2">
      <c r="A27" s="2"/>
      <c r="B27" s="2"/>
      <c r="C27" s="2"/>
      <c r="D27" s="2"/>
      <c r="E27" s="3"/>
      <c r="F27" s="3" t="str">
        <f>IF(OR(D27="",E27=""),"",D27*E27)</f>
        <v/>
      </c>
      <c r="G27" s="2"/>
      <c r="H27" s="2"/>
    </row>
    <row r="28" spans="1:8" x14ac:dyDescent="0.2">
      <c r="A28" s="2"/>
      <c r="B28" s="2"/>
      <c r="C28" s="2"/>
      <c r="D28" s="2"/>
      <c r="E28" s="3"/>
      <c r="F28" s="3" t="str">
        <f>IF(OR(D28="",E28=""),"",D28*E28)</f>
        <v/>
      </c>
      <c r="G28" s="2"/>
      <c r="H28" s="2"/>
    </row>
    <row r="29" spans="1:8" x14ac:dyDescent="0.2">
      <c r="A29" s="2"/>
      <c r="B29" s="2"/>
      <c r="C29" s="2"/>
      <c r="D29" s="2"/>
      <c r="E29" s="3"/>
      <c r="F29" s="3" t="str">
        <f>IF(OR(D29="",E29=""),"",D29*E29)</f>
        <v/>
      </c>
      <c r="G29" s="2"/>
      <c r="H29" s="2"/>
    </row>
    <row r="30" spans="1:8" x14ac:dyDescent="0.2">
      <c r="A30" s="2"/>
      <c r="B30" s="2"/>
      <c r="C30" s="2"/>
      <c r="D30" s="2"/>
      <c r="E30" s="3"/>
      <c r="F30" s="3" t="str">
        <f>IF(OR(D30="",E30=""),"",D30*E30)</f>
        <v/>
      </c>
      <c r="G30" s="2"/>
      <c r="H30" s="2"/>
    </row>
    <row r="31" spans="1:8" x14ac:dyDescent="0.2">
      <c r="A31" s="2"/>
      <c r="B31" s="2"/>
      <c r="C31" s="2"/>
      <c r="D31" s="2"/>
      <c r="E31" s="3"/>
      <c r="F31" s="3" t="str">
        <f>IF(OR(D31="",E31=""),"",D31*E31)</f>
        <v/>
      </c>
      <c r="G31" s="2"/>
      <c r="H31" s="2"/>
    </row>
    <row r="32" spans="1:8" x14ac:dyDescent="0.2">
      <c r="A32" s="2"/>
      <c r="B32" s="2"/>
      <c r="C32" s="2"/>
      <c r="D32" s="2"/>
      <c r="E32" s="3"/>
      <c r="F32" s="3" t="str">
        <f>IF(OR(D32="",E32=""),"",D32*E32)</f>
        <v/>
      </c>
      <c r="G32" s="2"/>
      <c r="H32" s="2"/>
    </row>
    <row r="33" spans="1:8" x14ac:dyDescent="0.2">
      <c r="A33" s="2"/>
      <c r="B33" s="2"/>
      <c r="C33" s="2"/>
      <c r="D33" s="2"/>
      <c r="E33" s="3"/>
      <c r="F33" s="3" t="str">
        <f>IF(OR(D33="",E33=""),"",D33*E33)</f>
        <v/>
      </c>
      <c r="G33" s="2"/>
      <c r="H33" s="2"/>
    </row>
    <row r="34" spans="1:8" x14ac:dyDescent="0.2">
      <c r="A34" s="2"/>
      <c r="B34" s="2"/>
      <c r="C34" s="2"/>
      <c r="D34" s="2"/>
      <c r="E34" s="3"/>
      <c r="F34" s="3" t="str">
        <f>IF(OR(D34="",E34=""),"",D34*E34)</f>
        <v/>
      </c>
      <c r="G34" s="2"/>
      <c r="H34" s="2"/>
    </row>
    <row r="35" spans="1:8" x14ac:dyDescent="0.2">
      <c r="A35" s="2"/>
      <c r="B35" s="2"/>
      <c r="C35" s="2"/>
      <c r="D35" s="2"/>
      <c r="E35" s="3"/>
      <c r="F35" s="3" t="str">
        <f>IF(OR(D35="",E35=""),"",D35*E35)</f>
        <v/>
      </c>
      <c r="G35" s="2"/>
      <c r="H35" s="2"/>
    </row>
    <row r="36" spans="1:8" x14ac:dyDescent="0.2">
      <c r="A36" s="2"/>
      <c r="B36" s="2"/>
      <c r="C36" s="2"/>
      <c r="D36" s="2"/>
      <c r="E36" s="3"/>
      <c r="F36" s="3" t="str">
        <f>IF(OR(D36="",E36=""),"",D36*E36)</f>
        <v/>
      </c>
      <c r="G36" s="2"/>
      <c r="H36" s="2"/>
    </row>
    <row r="37" spans="1:8" x14ac:dyDescent="0.2">
      <c r="A37" s="2"/>
      <c r="B37" s="2"/>
      <c r="C37" s="2"/>
      <c r="D37" s="2"/>
      <c r="E37" s="3"/>
      <c r="F37" s="3" t="str">
        <f>IF(OR(D37="",E37=""),"",D37*E37)</f>
        <v/>
      </c>
      <c r="G37" s="2"/>
      <c r="H37" s="2"/>
    </row>
    <row r="38" spans="1:8" x14ac:dyDescent="0.2">
      <c r="A38" s="2"/>
      <c r="B38" s="2"/>
      <c r="C38" s="2"/>
      <c r="D38" s="2"/>
      <c r="E38" s="3"/>
      <c r="F38" s="3" t="str">
        <f>IF(OR(D38="",E38=""),"",D38*E38)</f>
        <v/>
      </c>
      <c r="G38" s="2"/>
      <c r="H38" s="2"/>
    </row>
    <row r="39" spans="1:8" x14ac:dyDescent="0.2">
      <c r="A39" s="2"/>
      <c r="B39" s="2"/>
      <c r="C39" s="2"/>
      <c r="D39" s="2"/>
      <c r="E39" s="3"/>
      <c r="F39" s="3" t="str">
        <f>IF(OR(D39="",E39=""),"",D39*E39)</f>
        <v/>
      </c>
      <c r="G39" s="2"/>
      <c r="H39" s="2"/>
    </row>
    <row r="40" spans="1:8" x14ac:dyDescent="0.2">
      <c r="A40" s="2"/>
      <c r="B40" s="2"/>
      <c r="C40" s="2"/>
      <c r="D40" s="2"/>
      <c r="E40" s="3"/>
      <c r="F40" s="3" t="str">
        <f>IF(OR(D40="",E40=""),"",D40*E40)</f>
        <v/>
      </c>
      <c r="G40" s="2"/>
      <c r="H40" s="2"/>
    </row>
    <row r="41" spans="1:8" x14ac:dyDescent="0.2">
      <c r="A41" s="2"/>
      <c r="B41" s="2"/>
      <c r="C41" s="2"/>
      <c r="D41" s="2"/>
      <c r="E41" s="3"/>
      <c r="F41" s="3" t="str">
        <f>IF(OR(D41="",E41=""),"",D41*E41)</f>
        <v/>
      </c>
      <c r="G41" s="2"/>
      <c r="H41" s="2"/>
    </row>
    <row r="42" spans="1:8" x14ac:dyDescent="0.2">
      <c r="A42" s="2"/>
      <c r="B42" s="2"/>
      <c r="C42" s="2"/>
      <c r="D42" s="2"/>
      <c r="E42" s="3"/>
      <c r="F42" s="3" t="str">
        <f>IF(OR(D42="",E42=""),"",D42*E42)</f>
        <v/>
      </c>
      <c r="G42" s="2"/>
      <c r="H42" s="2"/>
    </row>
    <row r="43" spans="1:8" x14ac:dyDescent="0.2">
      <c r="A43" s="2"/>
      <c r="B43" s="2"/>
      <c r="C43" s="2"/>
      <c r="D43" s="2"/>
      <c r="E43" s="3"/>
      <c r="F43" s="3" t="str">
        <f>IF(OR(D43="",E43=""),"",D43*E43)</f>
        <v/>
      </c>
      <c r="G43" s="2"/>
      <c r="H43" s="2"/>
    </row>
    <row r="44" spans="1:8" x14ac:dyDescent="0.2">
      <c r="A44" s="2"/>
      <c r="B44" s="2"/>
      <c r="C44" s="2"/>
      <c r="D44" s="2"/>
      <c r="E44" s="3"/>
      <c r="F44" s="3" t="str">
        <f>IF(OR(D44="",E44=""),"",D44*E44)</f>
        <v/>
      </c>
      <c r="G44" s="2"/>
      <c r="H44" s="2"/>
    </row>
    <row r="45" spans="1:8" x14ac:dyDescent="0.2">
      <c r="A45" s="2"/>
      <c r="B45" s="2"/>
      <c r="C45" s="2"/>
      <c r="D45" s="2"/>
      <c r="E45" s="3"/>
      <c r="F45" s="3" t="str">
        <f>IF(OR(D45="",E45=""),"",D45*E45)</f>
        <v/>
      </c>
      <c r="G45" s="2"/>
      <c r="H45" s="2"/>
    </row>
    <row r="46" spans="1:8" x14ac:dyDescent="0.2">
      <c r="A46" s="2"/>
      <c r="B46" s="2"/>
      <c r="C46" s="2"/>
      <c r="D46" s="2"/>
      <c r="E46" s="3"/>
      <c r="F46" s="3" t="str">
        <f>IF(OR(D46="",E46=""),"",D46*E46)</f>
        <v/>
      </c>
      <c r="G46" s="2"/>
      <c r="H46" s="2"/>
    </row>
    <row r="47" spans="1:8" x14ac:dyDescent="0.2">
      <c r="A47" s="2"/>
      <c r="B47" s="2"/>
      <c r="C47" s="2"/>
      <c r="D47" s="2"/>
      <c r="E47" s="3"/>
      <c r="F47" s="3" t="str">
        <f>IF(OR(D47="",E47=""),"",D47*E47)</f>
        <v/>
      </c>
      <c r="G47" s="2"/>
      <c r="H47" s="2"/>
    </row>
    <row r="48" spans="1:8" x14ac:dyDescent="0.2">
      <c r="A48" s="2"/>
      <c r="B48" s="2"/>
      <c r="C48" s="2"/>
      <c r="D48" s="2"/>
      <c r="E48" s="3"/>
      <c r="F48" s="3" t="str">
        <f>IF(OR(D48="",E48=""),"",D48*E48)</f>
        <v/>
      </c>
      <c r="G48" s="2"/>
      <c r="H48" s="2"/>
    </row>
    <row r="49" spans="1:8" x14ac:dyDescent="0.2">
      <c r="A49" s="2"/>
      <c r="B49" s="2"/>
      <c r="C49" s="2"/>
      <c r="D49" s="2"/>
      <c r="E49" s="3"/>
      <c r="F49" s="3" t="str">
        <f>IF(OR(D49="",E49=""),"",D49*E49)</f>
        <v/>
      </c>
      <c r="G49" s="2"/>
      <c r="H49" s="2"/>
    </row>
    <row r="50" spans="1:8" x14ac:dyDescent="0.2">
      <c r="A50" s="2"/>
      <c r="B50" s="2"/>
      <c r="C50" s="2"/>
      <c r="D50" s="2"/>
      <c r="E50" s="3"/>
      <c r="F50" s="3" t="str">
        <f>IF(OR(D50="",E50=""),"",D50*E50)</f>
        <v/>
      </c>
      <c r="G50" s="2"/>
      <c r="H50" s="2"/>
    </row>
    <row r="51" spans="1:8" x14ac:dyDescent="0.2">
      <c r="A51" s="2"/>
      <c r="B51" s="2"/>
      <c r="C51" s="2"/>
      <c r="D51" s="2"/>
      <c r="E51" s="3"/>
      <c r="F51" s="3" t="str">
        <f>IF(OR(D51="",E51=""),"",D51*E51)</f>
        <v/>
      </c>
      <c r="G51" s="2"/>
      <c r="H51" s="2"/>
    </row>
    <row r="52" spans="1:8" x14ac:dyDescent="0.2">
      <c r="A52" s="2"/>
      <c r="B52" s="2"/>
      <c r="C52" s="2"/>
      <c r="D52" s="2"/>
      <c r="E52" s="3"/>
      <c r="F52" s="3" t="str">
        <f>IF(OR(D52="",E52=""),"",D52*E52)</f>
        <v/>
      </c>
      <c r="G52" s="2"/>
      <c r="H52" s="2"/>
    </row>
    <row r="53" spans="1:8" x14ac:dyDescent="0.2">
      <c r="A53" s="2"/>
      <c r="B53" s="2"/>
      <c r="C53" s="2"/>
      <c r="D53" s="2"/>
      <c r="E53" s="3"/>
      <c r="F53" s="3" t="str">
        <f>IF(OR(D53="",E53=""),"",D53*E53)</f>
        <v/>
      </c>
      <c r="G53" s="2"/>
      <c r="H53" s="2"/>
    </row>
    <row r="54" spans="1:8" x14ac:dyDescent="0.2">
      <c r="A54" s="2"/>
      <c r="B54" s="2"/>
      <c r="C54" s="2"/>
      <c r="D54" s="2"/>
      <c r="E54" s="3"/>
      <c r="F54" s="3" t="str">
        <f>IF(OR(D54="",E54=""),"",D54*E54)</f>
        <v/>
      </c>
      <c r="G54" s="2"/>
      <c r="H54" s="2"/>
    </row>
    <row r="55" spans="1:8" x14ac:dyDescent="0.2">
      <c r="A55" s="2"/>
      <c r="B55" s="2"/>
      <c r="C55" s="2"/>
      <c r="D55" s="2"/>
      <c r="E55" s="3"/>
      <c r="F55" s="3" t="str">
        <f>IF(OR(D55="",E55=""),"",D55*E55)</f>
        <v/>
      </c>
      <c r="G55" s="2"/>
      <c r="H55" s="2"/>
    </row>
    <row r="56" spans="1:8" x14ac:dyDescent="0.2">
      <c r="A56" s="2"/>
      <c r="B56" s="2"/>
      <c r="C56" s="2"/>
      <c r="D56" s="2"/>
      <c r="E56" s="3"/>
      <c r="F56" s="3" t="str">
        <f>IF(OR(D56="",E56=""),"",D56*E56)</f>
        <v/>
      </c>
      <c r="G56" s="2"/>
      <c r="H56" s="2"/>
    </row>
    <row r="57" spans="1:8" x14ac:dyDescent="0.2">
      <c r="A57" s="2"/>
      <c r="B57" s="2"/>
      <c r="C57" s="2"/>
      <c r="D57" s="2"/>
      <c r="E57" s="3"/>
      <c r="F57" s="3" t="str">
        <f>IF(OR(D57="",E57=""),"",D57*E57)</f>
        <v/>
      </c>
      <c r="G57" s="2"/>
      <c r="H57" s="2"/>
    </row>
    <row r="58" spans="1:8" x14ac:dyDescent="0.2">
      <c r="A58" s="2"/>
      <c r="B58" s="2"/>
      <c r="C58" s="2"/>
      <c r="D58" s="2"/>
      <c r="E58" s="3"/>
      <c r="F58" s="3" t="str">
        <f>IF(OR(D58="",E58=""),"",D58*E58)</f>
        <v/>
      </c>
      <c r="G58" s="2"/>
      <c r="H58" s="2"/>
    </row>
    <row r="59" spans="1:8" x14ac:dyDescent="0.2">
      <c r="A59" s="2"/>
      <c r="B59" s="2"/>
      <c r="C59" s="2"/>
      <c r="D59" s="2"/>
      <c r="E59" s="3"/>
      <c r="F59" s="3" t="str">
        <f>IF(OR(D59="",E59=""),"",D59*E59)</f>
        <v/>
      </c>
      <c r="G59" s="2"/>
      <c r="H59" s="2"/>
    </row>
    <row r="60" spans="1:8" x14ac:dyDescent="0.2">
      <c r="A60" s="2"/>
      <c r="B60" s="2"/>
      <c r="C60" s="2"/>
      <c r="D60" s="2"/>
      <c r="E60" s="3"/>
      <c r="F60" s="3" t="str">
        <f>IF(OR(D60="",E60=""),"",D60*E60)</f>
        <v/>
      </c>
      <c r="G60" s="2"/>
      <c r="H60" s="2"/>
    </row>
    <row r="61" spans="1:8" x14ac:dyDescent="0.2">
      <c r="A61" s="2"/>
      <c r="B61" s="2"/>
      <c r="C61" s="2"/>
      <c r="D61" s="2"/>
      <c r="E61" s="3"/>
      <c r="F61" s="3" t="str">
        <f>IF(OR(D61="",E61=""),"",D61*E61)</f>
        <v/>
      </c>
      <c r="G61" s="2"/>
      <c r="H61" s="2"/>
    </row>
    <row r="62" spans="1:8" x14ac:dyDescent="0.2">
      <c r="A62" s="2"/>
      <c r="B62" s="2"/>
      <c r="C62" s="2"/>
      <c r="D62" s="2"/>
      <c r="E62" s="3"/>
      <c r="F62" s="3" t="str">
        <f>IF(OR(D62="",E62=""),"",D62*E62)</f>
        <v/>
      </c>
      <c r="G62" s="2"/>
      <c r="H62" s="2"/>
    </row>
    <row r="63" spans="1:8" x14ac:dyDescent="0.2">
      <c r="A63" s="2"/>
      <c r="B63" s="2"/>
      <c r="C63" s="2"/>
      <c r="D63" s="2"/>
      <c r="E63" s="3"/>
      <c r="F63" s="3" t="str">
        <f>IF(OR(D63="",E63=""),"",D63*E63)</f>
        <v/>
      </c>
      <c r="G63" s="2"/>
      <c r="H63" s="2"/>
    </row>
    <row r="64" spans="1:8" x14ac:dyDescent="0.2">
      <c r="A64" s="2"/>
      <c r="B64" s="2"/>
      <c r="C64" s="2"/>
      <c r="D64" s="2"/>
      <c r="E64" s="3"/>
      <c r="F64" s="3" t="str">
        <f>IF(OR(D64="",E64=""),"",D64*E64)</f>
        <v/>
      </c>
      <c r="G64" s="2"/>
      <c r="H64" s="2"/>
    </row>
    <row r="65" spans="1:8" x14ac:dyDescent="0.2">
      <c r="A65" s="2"/>
      <c r="B65" s="2"/>
      <c r="C65" s="2"/>
      <c r="D65" s="2"/>
      <c r="E65" s="3"/>
      <c r="F65" s="3" t="str">
        <f>IF(OR(D65="",E65=""),"",D65*E65)</f>
        <v/>
      </c>
      <c r="G65" s="2"/>
      <c r="H65" s="2"/>
    </row>
    <row r="66" spans="1:8" x14ac:dyDescent="0.2">
      <c r="A66" s="2"/>
      <c r="B66" s="2"/>
      <c r="C66" s="2"/>
      <c r="D66" s="2"/>
      <c r="E66" s="3"/>
      <c r="F66" s="3" t="str">
        <f>IF(OR(D66="",E66=""),"",D66*E66)</f>
        <v/>
      </c>
      <c r="G66" s="2"/>
      <c r="H66" s="2"/>
    </row>
    <row r="67" spans="1:8" x14ac:dyDescent="0.2">
      <c r="A67" s="2"/>
      <c r="B67" s="2"/>
      <c r="C67" s="2"/>
      <c r="D67" s="2"/>
      <c r="E67" s="3"/>
      <c r="F67" s="3" t="str">
        <f>IF(OR(D67="",E67=""),"",D67*E67)</f>
        <v/>
      </c>
      <c r="G67" s="2"/>
      <c r="H67" s="2"/>
    </row>
    <row r="68" spans="1:8" x14ac:dyDescent="0.2">
      <c r="A68" s="2"/>
      <c r="B68" s="2"/>
      <c r="C68" s="2"/>
      <c r="D68" s="2"/>
      <c r="E68" s="3"/>
      <c r="F68" s="3" t="str">
        <f>IF(OR(D68="",E68=""),"",D68*E68)</f>
        <v/>
      </c>
      <c r="G68" s="2"/>
      <c r="H68" s="2"/>
    </row>
    <row r="69" spans="1:8" x14ac:dyDescent="0.2">
      <c r="A69" s="2"/>
      <c r="B69" s="2"/>
      <c r="C69" s="2"/>
      <c r="D69" s="2"/>
      <c r="E69" s="3"/>
      <c r="F69" s="3" t="str">
        <f>IF(OR(D69="",E69=""),"",D69*E69)</f>
        <v/>
      </c>
      <c r="G69" s="2"/>
      <c r="H69" s="2"/>
    </row>
    <row r="70" spans="1:8" x14ac:dyDescent="0.2">
      <c r="A70" s="2"/>
      <c r="B70" s="2"/>
      <c r="C70" s="2"/>
      <c r="D70" s="2"/>
      <c r="E70" s="3"/>
      <c r="F70" s="3" t="str">
        <f>IF(OR(D70="",E70=""),"",D70*E70)</f>
        <v/>
      </c>
      <c r="G70" s="2"/>
      <c r="H70" s="2"/>
    </row>
    <row r="71" spans="1:8" x14ac:dyDescent="0.2">
      <c r="A71" s="2"/>
      <c r="B71" s="2"/>
      <c r="C71" s="2"/>
      <c r="D71" s="2"/>
      <c r="E71" s="3"/>
      <c r="F71" s="3" t="str">
        <f>IF(OR(D71="",E71=""),"",D71*E71)</f>
        <v/>
      </c>
      <c r="G71" s="2"/>
      <c r="H71" s="2"/>
    </row>
    <row r="72" spans="1:8" x14ac:dyDescent="0.2">
      <c r="A72" s="2"/>
      <c r="B72" s="2"/>
      <c r="C72" s="2"/>
      <c r="D72" s="2"/>
      <c r="E72" s="3"/>
      <c r="F72" s="3" t="str">
        <f>IF(OR(D72="",E72=""),"",D72*E72)</f>
        <v/>
      </c>
      <c r="G72" s="2"/>
      <c r="H72" s="2"/>
    </row>
    <row r="73" spans="1:8" x14ac:dyDescent="0.2">
      <c r="A73" s="2"/>
      <c r="B73" s="2"/>
      <c r="C73" s="2"/>
      <c r="D73" s="2"/>
      <c r="E73" s="3"/>
      <c r="F73" s="3" t="str">
        <f>IF(OR(D73="",E73=""),"",D73*E73)</f>
        <v/>
      </c>
      <c r="G73" s="2"/>
      <c r="H73" s="2"/>
    </row>
    <row r="74" spans="1:8" x14ac:dyDescent="0.2">
      <c r="A74" s="2"/>
      <c r="B74" s="2"/>
      <c r="C74" s="2"/>
      <c r="D74" s="2"/>
      <c r="E74" s="3"/>
      <c r="F74" s="3" t="str">
        <f>IF(OR(D74="",E74=""),"",D74*E74)</f>
        <v/>
      </c>
      <c r="G74" s="2"/>
      <c r="H74" s="2"/>
    </row>
    <row r="75" spans="1:8" x14ac:dyDescent="0.2">
      <c r="A75" s="2"/>
      <c r="B75" s="2"/>
      <c r="C75" s="2"/>
      <c r="D75" s="2"/>
      <c r="E75" s="3"/>
      <c r="F75" s="3" t="str">
        <f>IF(OR(D75="",E75=""),"",D75*E75)</f>
        <v/>
      </c>
      <c r="G75" s="2"/>
      <c r="H75" s="2"/>
    </row>
    <row r="76" spans="1:8" x14ac:dyDescent="0.2">
      <c r="A76" s="2"/>
      <c r="B76" s="2"/>
      <c r="C76" s="2"/>
      <c r="D76" s="2"/>
      <c r="E76" s="3"/>
      <c r="F76" s="3" t="str">
        <f>IF(OR(D76="",E76=""),"",D76*E76)</f>
        <v/>
      </c>
      <c r="G76" s="2"/>
      <c r="H76" s="2"/>
    </row>
    <row r="77" spans="1:8" x14ac:dyDescent="0.2">
      <c r="A77" s="2"/>
      <c r="B77" s="2"/>
      <c r="C77" s="2"/>
      <c r="D77" s="2"/>
      <c r="E77" s="3"/>
      <c r="F77" s="3" t="str">
        <f>IF(OR(D77="",E77=""),"",D77*E77)</f>
        <v/>
      </c>
      <c r="G77" s="2"/>
      <c r="H77" s="2"/>
    </row>
    <row r="78" spans="1:8" x14ac:dyDescent="0.2">
      <c r="A78" s="2"/>
      <c r="B78" s="2"/>
      <c r="C78" s="2"/>
      <c r="D78" s="2"/>
      <c r="E78" s="3"/>
      <c r="F78" s="3" t="str">
        <f>IF(OR(D78="",E78=""),"",D78*E78)</f>
        <v/>
      </c>
      <c r="G78" s="2"/>
      <c r="H78" s="2"/>
    </row>
    <row r="79" spans="1:8" x14ac:dyDescent="0.2">
      <c r="A79" s="2"/>
      <c r="B79" s="2"/>
      <c r="C79" s="2"/>
      <c r="D79" s="2"/>
      <c r="E79" s="3"/>
      <c r="F79" s="3" t="str">
        <f>IF(OR(D79="",E79=""),"",D79*E79)</f>
        <v/>
      </c>
      <c r="G79" s="2"/>
      <c r="H79" s="2"/>
    </row>
    <row r="80" spans="1:8" x14ac:dyDescent="0.2">
      <c r="A80" s="2"/>
      <c r="B80" s="2"/>
      <c r="C80" s="2"/>
      <c r="D80" s="2"/>
      <c r="E80" s="3"/>
      <c r="F80" s="3" t="str">
        <f>IF(OR(D80="",E80=""),"",D80*E80)</f>
        <v/>
      </c>
      <c r="G80" s="2"/>
      <c r="H80" s="2"/>
    </row>
    <row r="81" spans="1:8" x14ac:dyDescent="0.2">
      <c r="A81" s="2"/>
      <c r="B81" s="2"/>
      <c r="C81" s="2"/>
      <c r="D81" s="2"/>
      <c r="E81" s="3"/>
      <c r="F81" s="3" t="str">
        <f>IF(OR(D81="",E81=""),"",D81*E81)</f>
        <v/>
      </c>
      <c r="G81" s="2"/>
      <c r="H81" s="2"/>
    </row>
    <row r="82" spans="1:8" x14ac:dyDescent="0.2">
      <c r="A82" s="2"/>
      <c r="B82" s="2"/>
      <c r="C82" s="2"/>
      <c r="D82" s="2"/>
      <c r="E82" s="3"/>
      <c r="F82" s="3" t="str">
        <f>IF(OR(D82="",E82=""),"",D82*E82)</f>
        <v/>
      </c>
      <c r="G82" s="2"/>
      <c r="H82" s="2"/>
    </row>
    <row r="83" spans="1:8" x14ac:dyDescent="0.2">
      <c r="A83" s="2"/>
      <c r="B83" s="2"/>
      <c r="C83" s="2"/>
      <c r="D83" s="2"/>
      <c r="E83" s="3"/>
      <c r="F83" s="3" t="str">
        <f>IF(OR(D83="",E83=""),"",D83*E83)</f>
        <v/>
      </c>
      <c r="G83" s="2"/>
      <c r="H83" s="2"/>
    </row>
    <row r="84" spans="1:8" x14ac:dyDescent="0.2">
      <c r="A84" s="2"/>
      <c r="B84" s="2"/>
      <c r="C84" s="2"/>
      <c r="D84" s="2"/>
      <c r="E84" s="3"/>
      <c r="F84" s="3" t="str">
        <f>IF(OR(D84="",E84=""),"",D84*E84)</f>
        <v/>
      </c>
      <c r="G84" s="2"/>
      <c r="H84" s="2"/>
    </row>
    <row r="85" spans="1:8" x14ac:dyDescent="0.2">
      <c r="A85" s="2"/>
      <c r="B85" s="2"/>
      <c r="C85" s="2"/>
      <c r="D85" s="2"/>
      <c r="E85" s="3"/>
      <c r="F85" s="3" t="str">
        <f>IF(OR(D85="",E85=""),"",D85*E85)</f>
        <v/>
      </c>
      <c r="G85" s="2"/>
      <c r="H85" s="2"/>
    </row>
    <row r="86" spans="1:8" x14ac:dyDescent="0.2">
      <c r="A86" s="2"/>
      <c r="B86" s="2"/>
      <c r="C86" s="2"/>
      <c r="D86" s="2"/>
      <c r="E86" s="3"/>
      <c r="F86" s="3" t="str">
        <f>IF(OR(D86="",E86=""),"",D86*E86)</f>
        <v/>
      </c>
      <c r="G86" s="2"/>
      <c r="H86" s="2"/>
    </row>
    <row r="87" spans="1:8" x14ac:dyDescent="0.2">
      <c r="A87" s="2"/>
      <c r="B87" s="2"/>
      <c r="C87" s="2"/>
      <c r="D87" s="2"/>
      <c r="E87" s="3"/>
      <c r="F87" s="3" t="str">
        <f>IF(OR(D87="",E87=""),"",D87*E87)</f>
        <v/>
      </c>
      <c r="G87" s="2"/>
      <c r="H87" s="2"/>
    </row>
    <row r="88" spans="1:8" x14ac:dyDescent="0.2">
      <c r="A88" s="2"/>
      <c r="B88" s="2"/>
      <c r="C88" s="2"/>
      <c r="D88" s="2"/>
      <c r="E88" s="3"/>
      <c r="F88" s="3" t="str">
        <f>IF(OR(D88="",E88=""),"",D88*E88)</f>
        <v/>
      </c>
      <c r="G88" s="2"/>
      <c r="H88" s="2"/>
    </row>
    <row r="89" spans="1:8" x14ac:dyDescent="0.2">
      <c r="A89" s="2"/>
      <c r="B89" s="2"/>
      <c r="C89" s="2"/>
      <c r="D89" s="2"/>
      <c r="E89" s="3"/>
      <c r="F89" s="3" t="str">
        <f>IF(OR(D89="",E89=""),"",D89*E89)</f>
        <v/>
      </c>
      <c r="G89" s="2"/>
      <c r="H89" s="2"/>
    </row>
    <row r="90" spans="1:8" x14ac:dyDescent="0.2">
      <c r="A90" s="2"/>
      <c r="B90" s="2"/>
      <c r="C90" s="2"/>
      <c r="D90" s="2"/>
      <c r="E90" s="3"/>
      <c r="F90" s="3" t="str">
        <f>IF(OR(D90="",E90=""),"",D90*E90)</f>
        <v/>
      </c>
      <c r="G90" s="2"/>
      <c r="H90" s="2"/>
    </row>
    <row r="91" spans="1:8" x14ac:dyDescent="0.2">
      <c r="A91" s="2"/>
      <c r="B91" s="2"/>
      <c r="C91" s="2"/>
      <c r="D91" s="2"/>
      <c r="E91" s="3"/>
      <c r="F91" s="3" t="str">
        <f>IF(OR(D91="",E91=""),"",D91*E91)</f>
        <v/>
      </c>
      <c r="G91" s="2"/>
      <c r="H91" s="2"/>
    </row>
    <row r="92" spans="1:8" x14ac:dyDescent="0.2">
      <c r="A92" s="2"/>
      <c r="B92" s="2"/>
      <c r="C92" s="2"/>
      <c r="D92" s="2"/>
      <c r="E92" s="3"/>
      <c r="F92" s="3" t="str">
        <f>IF(OR(D92="",E92=""),"",D92*E92)</f>
        <v/>
      </c>
      <c r="G92" s="2"/>
      <c r="H92" s="2"/>
    </row>
    <row r="93" spans="1:8" x14ac:dyDescent="0.2">
      <c r="A93" s="2"/>
      <c r="B93" s="2"/>
      <c r="C93" s="2"/>
      <c r="D93" s="2"/>
      <c r="E93" s="3"/>
      <c r="F93" s="3" t="str">
        <f>IF(OR(D93="",E93=""),"",D93*E93)</f>
        <v/>
      </c>
      <c r="G93" s="2"/>
      <c r="H93" s="2"/>
    </row>
    <row r="94" spans="1:8" x14ac:dyDescent="0.2">
      <c r="A94" s="2"/>
      <c r="B94" s="2"/>
      <c r="C94" s="2"/>
      <c r="D94" s="2"/>
      <c r="E94" s="3"/>
      <c r="F94" s="3" t="str">
        <f>IF(OR(D94="",E94=""),"",D94*E94)</f>
        <v/>
      </c>
      <c r="G94" s="2"/>
      <c r="H94" s="2"/>
    </row>
    <row r="95" spans="1:8" x14ac:dyDescent="0.2">
      <c r="A95" s="2"/>
      <c r="B95" s="2"/>
      <c r="C95" s="2"/>
      <c r="D95" s="2"/>
      <c r="E95" s="3"/>
      <c r="F95" s="3" t="str">
        <f>IF(OR(D95="",E95=""),"",D95*E95)</f>
        <v/>
      </c>
      <c r="G95" s="2"/>
      <c r="H95" s="2"/>
    </row>
    <row r="96" spans="1:8" x14ac:dyDescent="0.2">
      <c r="A96" s="2"/>
      <c r="B96" s="2"/>
      <c r="C96" s="2"/>
      <c r="D96" s="2"/>
      <c r="E96" s="3"/>
      <c r="F96" s="3" t="str">
        <f>IF(OR(D96="",E96=""),"",D96*E96)</f>
        <v/>
      </c>
      <c r="G96" s="2"/>
      <c r="H96" s="2"/>
    </row>
    <row r="97" spans="1:8" x14ac:dyDescent="0.2">
      <c r="A97" s="2"/>
      <c r="B97" s="2"/>
      <c r="C97" s="2"/>
      <c r="D97" s="2"/>
      <c r="E97" s="3"/>
      <c r="F97" s="3" t="str">
        <f>IF(OR(D97="",E97=""),"",D97*E97)</f>
        <v/>
      </c>
      <c r="G97" s="2"/>
      <c r="H97" s="2"/>
    </row>
    <row r="98" spans="1:8" x14ac:dyDescent="0.2">
      <c r="A98" s="2"/>
      <c r="B98" s="2"/>
      <c r="C98" s="2"/>
      <c r="D98" s="2"/>
      <c r="E98" s="3"/>
      <c r="F98" s="3" t="str">
        <f>IF(OR(D98="",E98=""),"",D98*E98)</f>
        <v/>
      </c>
      <c r="G98" s="2"/>
      <c r="H98" s="2"/>
    </row>
    <row r="99" spans="1:8" x14ac:dyDescent="0.2">
      <c r="A99" s="2"/>
      <c r="B99" s="2"/>
      <c r="C99" s="2"/>
      <c r="D99" s="2"/>
      <c r="E99" s="3"/>
      <c r="F99" s="3" t="str">
        <f>IF(OR(D99="",E99=""),"",D99*E99)</f>
        <v/>
      </c>
      <c r="G99" s="2"/>
      <c r="H99" s="2"/>
    </row>
    <row r="100" spans="1:8" x14ac:dyDescent="0.2">
      <c r="A100" s="2"/>
      <c r="B100" s="2"/>
      <c r="C100" s="2"/>
      <c r="D100" s="2"/>
      <c r="E100" s="3"/>
      <c r="F100" s="3" t="str">
        <f>IF(OR(D100="",E100=""),"",D100*E100)</f>
        <v/>
      </c>
      <c r="G100" s="2"/>
      <c r="H100" s="2"/>
    </row>
    <row r="101" spans="1:8" x14ac:dyDescent="0.2">
      <c r="A101" s="2"/>
      <c r="B101" s="2"/>
      <c r="C101" s="2"/>
      <c r="D101" s="2"/>
      <c r="E101" s="3"/>
      <c r="F101" s="3" t="str">
        <f>IF(OR(D101="",E101=""),"",D101*E101)</f>
        <v/>
      </c>
      <c r="G101" s="2"/>
      <c r="H101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pane ySplit="1" topLeftCell="A2" activePane="bottomLeft" state="frozen"/>
      <selection pane="bottomLeft" activeCell="L13" sqref="L13"/>
    </sheetView>
  </sheetViews>
  <sheetFormatPr defaultColWidth="9.01171875" defaultRowHeight="15" x14ac:dyDescent="0.2"/>
  <cols>
    <col min="1" max="4" width="11.97265625" style="17" customWidth="1"/>
    <col min="5" max="5" width="14.9296875" style="17" customWidth="1"/>
    <col min="6" max="6" width="13.98828125" style="17" customWidth="1"/>
    <col min="7" max="7" width="16.94921875" style="17" customWidth="1"/>
    <col min="8" max="8" width="11.97265625" style="17" customWidth="1"/>
  </cols>
  <sheetData>
    <row r="1" spans="1:8" x14ac:dyDescent="0.2">
      <c r="A1" s="1" t="s">
        <v>35</v>
      </c>
      <c r="B1" s="1" t="s">
        <v>56</v>
      </c>
      <c r="C1" s="1" t="s">
        <v>36</v>
      </c>
      <c r="D1" s="1" t="s">
        <v>37</v>
      </c>
      <c r="E1" s="1" t="s">
        <v>57</v>
      </c>
      <c r="F1" s="1" t="s">
        <v>58</v>
      </c>
      <c r="G1" s="1" t="s">
        <v>42</v>
      </c>
      <c r="H1" s="1" t="s">
        <v>59</v>
      </c>
    </row>
    <row r="2" spans="1:8" x14ac:dyDescent="0.2">
      <c r="B2" t="s">
        <v>60</v>
      </c>
      <c r="C2" s="2" t="s">
        <v>43</v>
      </c>
      <c r="D2" t="s">
        <v>44</v>
      </c>
      <c r="E2">
        <v>5</v>
      </c>
      <c r="F2">
        <v>500</v>
      </c>
      <c r="G2" s="2" t="s">
        <v>45</v>
      </c>
    </row>
    <row r="3" spans="1:8" x14ac:dyDescent="0.2">
      <c r="B3" t="s">
        <v>60</v>
      </c>
      <c r="C3" s="2" t="s">
        <v>46</v>
      </c>
      <c r="D3" t="s">
        <v>44</v>
      </c>
      <c r="E3">
        <v>6</v>
      </c>
      <c r="F3">
        <v>500</v>
      </c>
      <c r="G3" s="2" t="s">
        <v>45</v>
      </c>
    </row>
    <row r="4" spans="1:8" x14ac:dyDescent="0.2">
      <c r="B4" t="s">
        <v>60</v>
      </c>
      <c r="C4" s="2" t="s">
        <v>47</v>
      </c>
      <c r="D4" t="s">
        <v>48</v>
      </c>
      <c r="E4">
        <v>2</v>
      </c>
      <c r="F4">
        <v>500</v>
      </c>
      <c r="G4" s="2" t="s">
        <v>45</v>
      </c>
    </row>
    <row r="5" spans="1:8" x14ac:dyDescent="0.2">
      <c r="B5" t="s">
        <v>60</v>
      </c>
      <c r="C5" s="2" t="s">
        <v>49</v>
      </c>
      <c r="D5" t="s">
        <v>50</v>
      </c>
      <c r="E5">
        <v>20</v>
      </c>
      <c r="F5">
        <v>500</v>
      </c>
      <c r="G5" s="2" t="s">
        <v>45</v>
      </c>
    </row>
    <row r="6" spans="1:8" x14ac:dyDescent="0.2">
      <c r="B6" t="s">
        <v>60</v>
      </c>
      <c r="C6" s="2" t="s">
        <v>51</v>
      </c>
      <c r="D6" t="s">
        <v>44</v>
      </c>
      <c r="E6">
        <v>10</v>
      </c>
      <c r="F6">
        <v>500</v>
      </c>
      <c r="G6" s="2" t="s">
        <v>45</v>
      </c>
    </row>
    <row r="7" spans="1:8" x14ac:dyDescent="0.2">
      <c r="B7" t="s">
        <v>60</v>
      </c>
      <c r="C7" s="2" t="s">
        <v>52</v>
      </c>
      <c r="D7" t="s">
        <v>44</v>
      </c>
      <c r="E7">
        <v>15</v>
      </c>
      <c r="F7">
        <v>500</v>
      </c>
      <c r="G7" s="2" t="s">
        <v>45</v>
      </c>
    </row>
    <row r="8" spans="1:8" x14ac:dyDescent="0.2">
      <c r="B8" t="s">
        <v>60</v>
      </c>
      <c r="C8" s="2" t="s">
        <v>53</v>
      </c>
      <c r="D8" t="s">
        <v>44</v>
      </c>
      <c r="E8">
        <v>15</v>
      </c>
      <c r="F8">
        <v>500</v>
      </c>
      <c r="G8" s="2" t="s">
        <v>45</v>
      </c>
    </row>
    <row r="9" spans="1:8" x14ac:dyDescent="0.2">
      <c r="B9" t="s">
        <v>60</v>
      </c>
      <c r="C9" s="2" t="s">
        <v>54</v>
      </c>
      <c r="D9" t="s">
        <v>50</v>
      </c>
      <c r="E9">
        <v>10</v>
      </c>
      <c r="F9">
        <v>500</v>
      </c>
      <c r="G9" s="2" t="s">
        <v>45</v>
      </c>
    </row>
    <row r="10" spans="1:8" x14ac:dyDescent="0.2">
      <c r="B10" t="s">
        <v>61</v>
      </c>
      <c r="C10" s="2" t="s">
        <v>43</v>
      </c>
      <c r="E10">
        <v>10</v>
      </c>
      <c r="F10">
        <v>600</v>
      </c>
      <c r="G10" s="2" t="s">
        <v>55</v>
      </c>
    </row>
    <row r="11" spans="1:8" x14ac:dyDescent="0.2">
      <c r="B11" t="s">
        <v>61</v>
      </c>
      <c r="C11" s="2" t="s">
        <v>46</v>
      </c>
      <c r="E11">
        <v>4</v>
      </c>
      <c r="G11" s="2" t="s">
        <v>55</v>
      </c>
    </row>
    <row r="12" spans="1:8" x14ac:dyDescent="0.2">
      <c r="B12" t="s">
        <v>61</v>
      </c>
      <c r="C12" s="2" t="s">
        <v>47</v>
      </c>
      <c r="E12">
        <v>2</v>
      </c>
      <c r="G12" s="2" t="s">
        <v>55</v>
      </c>
    </row>
    <row r="13" spans="1:8" x14ac:dyDescent="0.2">
      <c r="B13" t="s">
        <v>61</v>
      </c>
      <c r="C13" s="2" t="s">
        <v>49</v>
      </c>
      <c r="E13">
        <v>15</v>
      </c>
      <c r="G13" s="2" t="s">
        <v>55</v>
      </c>
    </row>
    <row r="14" spans="1:8" x14ac:dyDescent="0.2">
      <c r="B14" t="s">
        <v>61</v>
      </c>
      <c r="C14" s="2" t="s">
        <v>51</v>
      </c>
      <c r="E14">
        <v>15</v>
      </c>
      <c r="G14" s="2" t="s">
        <v>55</v>
      </c>
    </row>
    <row r="15" spans="1:8" x14ac:dyDescent="0.2">
      <c r="B15" t="s">
        <v>61</v>
      </c>
      <c r="C15" s="2" t="s">
        <v>52</v>
      </c>
      <c r="E15">
        <v>20</v>
      </c>
      <c r="G15" s="2" t="s">
        <v>55</v>
      </c>
    </row>
    <row r="16" spans="1:8" x14ac:dyDescent="0.2">
      <c r="B16" t="s">
        <v>61</v>
      </c>
      <c r="C16" s="2" t="s">
        <v>53</v>
      </c>
      <c r="E16">
        <v>10</v>
      </c>
      <c r="G16" s="2" t="s">
        <v>55</v>
      </c>
    </row>
    <row r="17" spans="2:7" x14ac:dyDescent="0.2">
      <c r="B17" t="s">
        <v>61</v>
      </c>
      <c r="C17" s="2" t="s">
        <v>54</v>
      </c>
      <c r="E17">
        <v>10</v>
      </c>
      <c r="G17" s="2" t="s">
        <v>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1" topLeftCell="A2" activePane="bottomLeft" state="frozen"/>
      <selection pane="bottomLeft" activeCell="D9" sqref="D9:D10"/>
    </sheetView>
  </sheetViews>
  <sheetFormatPr defaultColWidth="9.01171875" defaultRowHeight="15" x14ac:dyDescent="0.2"/>
  <cols>
    <col min="1" max="2" width="11.97265625" style="17" customWidth="1"/>
    <col min="3" max="3" width="16.94921875" style="17" customWidth="1"/>
    <col min="4" max="4" width="16.0078125" style="17" customWidth="1"/>
    <col min="5" max="5" width="11.97265625" style="17" customWidth="1"/>
    <col min="6" max="6" width="18.0234375" style="17" customWidth="1"/>
    <col min="7" max="7" width="11.97265625" style="17" customWidth="1"/>
  </cols>
  <sheetData>
    <row r="1" spans="1:7" x14ac:dyDescent="0.2">
      <c r="A1" s="1" t="s">
        <v>35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59</v>
      </c>
    </row>
    <row r="2" spans="1:7" x14ac:dyDescent="0.2">
      <c r="B2" t="s">
        <v>60</v>
      </c>
      <c r="C2" t="s">
        <v>45</v>
      </c>
      <c r="D2">
        <v>500</v>
      </c>
    </row>
    <row r="3" spans="1:7" x14ac:dyDescent="0.2">
      <c r="B3" t="s">
        <v>61</v>
      </c>
      <c r="C3" t="s">
        <v>45</v>
      </c>
      <c r="D3">
        <v>400</v>
      </c>
    </row>
    <row r="4" spans="1:7" x14ac:dyDescent="0.2">
      <c r="B4" t="s">
        <v>67</v>
      </c>
      <c r="C4" t="s">
        <v>45</v>
      </c>
      <c r="D4">
        <v>500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>
      <pane ySplit="1" topLeftCell="A2" activePane="bottomLeft" state="frozen"/>
      <selection pane="bottomLeft" activeCell="C7" sqref="C7"/>
    </sheetView>
  </sheetViews>
  <sheetFormatPr defaultColWidth="9.01171875" defaultRowHeight="15" x14ac:dyDescent="0.2"/>
  <cols>
    <col min="1" max="3" width="11.97265625" style="17" customWidth="1"/>
    <col min="4" max="4" width="14.9296875" style="17" customWidth="1"/>
    <col min="5" max="5" width="20.04296875" style="17" customWidth="1"/>
    <col min="6" max="6" width="27.98046875" style="17" customWidth="1"/>
    <col min="7" max="7" width="16.0078125" style="17" customWidth="1"/>
    <col min="8" max="8" width="11.97265625" style="17" customWidth="1"/>
  </cols>
  <sheetData>
    <row r="1" spans="1:8" x14ac:dyDescent="0.2">
      <c r="A1" s="1" t="s">
        <v>35</v>
      </c>
      <c r="B1" s="1" t="s">
        <v>62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">
      <c r="A2" s="2"/>
      <c r="B2" t="s">
        <v>60</v>
      </c>
      <c r="C2" s="2"/>
      <c r="D2" s="2">
        <v>300</v>
      </c>
      <c r="E2" s="3">
        <v>50</v>
      </c>
      <c r="F2" s="3">
        <f>IF(OR(D2="",E2=""),"",D2*E2)</f>
        <v>15000</v>
      </c>
      <c r="G2" s="2"/>
      <c r="H2" s="2" t="s">
        <v>45</v>
      </c>
    </row>
    <row r="3" spans="1:8" x14ac:dyDescent="0.2">
      <c r="A3" s="2"/>
      <c r="B3" t="s">
        <v>61</v>
      </c>
      <c r="C3" s="2"/>
      <c r="D3" s="2">
        <v>300</v>
      </c>
      <c r="E3" s="3">
        <v>50</v>
      </c>
      <c r="F3" s="3">
        <f>IF(OR(D3="",E3=""),"",D3*E3)</f>
        <v>15000</v>
      </c>
      <c r="G3" s="2"/>
      <c r="H3" s="2" t="s">
        <v>45</v>
      </c>
    </row>
    <row r="4" spans="1:8" x14ac:dyDescent="0.2">
      <c r="A4" s="2"/>
      <c r="B4" t="s">
        <v>67</v>
      </c>
      <c r="C4" s="2"/>
      <c r="D4" s="2">
        <v>250</v>
      </c>
      <c r="E4" s="3">
        <v>60</v>
      </c>
      <c r="F4" s="3">
        <f>IF(OR(D4="",E4=""),"",D4*E4)</f>
        <v>15000</v>
      </c>
      <c r="G4" s="2"/>
      <c r="H4" s="2"/>
    </row>
    <row r="5" spans="1:8" x14ac:dyDescent="0.2">
      <c r="A5" s="2"/>
      <c r="B5" s="2"/>
      <c r="C5" s="2"/>
      <c r="D5" s="2"/>
      <c r="E5" s="3"/>
      <c r="F5" s="3" t="str">
        <f>IF(OR(D5="",E5=""),"",D5*E5)</f>
        <v/>
      </c>
      <c r="G5" s="2"/>
      <c r="H5" s="2"/>
    </row>
    <row r="6" spans="1:8" x14ac:dyDescent="0.2">
      <c r="A6" s="2"/>
      <c r="B6" s="2"/>
      <c r="C6" s="2"/>
      <c r="D6" s="2"/>
      <c r="E6" s="3"/>
      <c r="F6" s="3" t="str">
        <f>IF(OR(D6="",E6=""),"",D6*E6)</f>
        <v/>
      </c>
      <c r="G6" s="2"/>
      <c r="H6" s="2"/>
    </row>
    <row r="7" spans="1:8" x14ac:dyDescent="0.2">
      <c r="A7" s="2"/>
      <c r="B7" s="2"/>
      <c r="C7" s="2"/>
      <c r="D7" s="2"/>
      <c r="E7" s="3"/>
      <c r="F7" s="3" t="str">
        <f>IF(OR(D7="",E7=""),"",D7*E7)</f>
        <v/>
      </c>
      <c r="G7" s="2"/>
      <c r="H7" s="2"/>
    </row>
    <row r="8" spans="1:8" x14ac:dyDescent="0.2">
      <c r="A8" s="2"/>
      <c r="B8" s="2"/>
      <c r="C8" s="2"/>
      <c r="D8" s="2"/>
      <c r="E8" s="3"/>
      <c r="F8" s="3" t="str">
        <f>IF(OR(D8="",E8=""),"",D8*E8)</f>
        <v/>
      </c>
      <c r="G8" s="2"/>
      <c r="H8" s="2"/>
    </row>
    <row r="9" spans="1:8" x14ac:dyDescent="0.2">
      <c r="A9" s="2"/>
      <c r="B9" s="2"/>
      <c r="C9" s="2"/>
      <c r="D9" s="2"/>
      <c r="E9" s="3"/>
      <c r="F9" s="3" t="str">
        <f>IF(OR(D9="",E9=""),"",D9*E9)</f>
        <v/>
      </c>
      <c r="G9" s="2"/>
      <c r="H9" s="2"/>
    </row>
    <row r="10" spans="1:8" x14ac:dyDescent="0.2">
      <c r="A10" s="2"/>
      <c r="B10" s="2"/>
      <c r="C10" s="2"/>
      <c r="D10" s="2"/>
      <c r="E10" s="3"/>
      <c r="F10" s="3" t="str">
        <f>IF(OR(D10="",E10=""),"",D10*E10)</f>
        <v/>
      </c>
      <c r="G10" s="2"/>
      <c r="H10" s="2"/>
    </row>
    <row r="11" spans="1:8" x14ac:dyDescent="0.2">
      <c r="A11" s="2"/>
      <c r="B11" s="2"/>
      <c r="C11" s="2"/>
      <c r="D11" s="2"/>
      <c r="E11" s="3"/>
      <c r="F11" s="3" t="str">
        <f>IF(OR(D11="",E11=""),"",D11*E11)</f>
        <v/>
      </c>
      <c r="G11" s="2"/>
      <c r="H11" s="2"/>
    </row>
    <row r="12" spans="1:8" x14ac:dyDescent="0.2">
      <c r="A12" s="2"/>
      <c r="B12" s="2"/>
      <c r="C12" s="2"/>
      <c r="D12" s="2"/>
      <c r="E12" s="3"/>
      <c r="F12" s="3" t="str">
        <f>IF(OR(D12="",E12=""),"",D12*E12)</f>
        <v/>
      </c>
      <c r="G12" s="2"/>
      <c r="H12" s="2"/>
    </row>
    <row r="13" spans="1:8" x14ac:dyDescent="0.2">
      <c r="A13" s="2"/>
      <c r="B13" s="2"/>
      <c r="C13" s="2"/>
      <c r="D13" s="2"/>
      <c r="E13" s="3"/>
      <c r="F13" s="3" t="str">
        <f>IF(OR(D13="",E13=""),"",D13*E13)</f>
        <v/>
      </c>
      <c r="G13" s="2"/>
      <c r="H13" s="2"/>
    </row>
    <row r="14" spans="1:8" x14ac:dyDescent="0.2">
      <c r="A14" s="2"/>
      <c r="B14" s="2"/>
      <c r="C14" s="2"/>
      <c r="D14" s="2"/>
      <c r="E14" s="3"/>
      <c r="F14" s="3" t="str">
        <f>IF(OR(D14="",E14=""),"",D14*E14)</f>
        <v/>
      </c>
      <c r="G14" s="2"/>
      <c r="H14" s="2"/>
    </row>
    <row r="15" spans="1:8" x14ac:dyDescent="0.2">
      <c r="A15" s="2"/>
      <c r="B15" s="2"/>
      <c r="C15" s="2"/>
      <c r="D15" s="2"/>
      <c r="E15" s="3"/>
      <c r="F15" s="3" t="str">
        <f>IF(OR(D15="",E15=""),"",D15*E15)</f>
        <v/>
      </c>
      <c r="G15" s="2"/>
      <c r="H15" s="2"/>
    </row>
    <row r="16" spans="1:8" x14ac:dyDescent="0.2">
      <c r="A16" s="2"/>
      <c r="B16" s="2"/>
      <c r="C16" s="2"/>
      <c r="D16" s="2"/>
      <c r="E16" s="3"/>
      <c r="F16" s="3" t="str">
        <f>IF(OR(D16="",E16=""),"",D16*E16)</f>
        <v/>
      </c>
      <c r="G16" s="2"/>
      <c r="H16" s="2"/>
    </row>
    <row r="17" spans="1:8" x14ac:dyDescent="0.2">
      <c r="A17" s="2"/>
      <c r="B17" s="2"/>
      <c r="C17" s="2"/>
      <c r="D17" s="2"/>
      <c r="E17" s="3"/>
      <c r="F17" s="3" t="str">
        <f>IF(OR(D17="",E17=""),"",D17*E17)</f>
        <v/>
      </c>
      <c r="G17" s="2"/>
      <c r="H17" s="2"/>
    </row>
    <row r="18" spans="1:8" x14ac:dyDescent="0.2">
      <c r="A18" s="2"/>
      <c r="B18" s="2"/>
      <c r="C18" s="2"/>
      <c r="D18" s="2"/>
      <c r="E18" s="3"/>
      <c r="F18" s="3" t="str">
        <f>IF(OR(D18="",E18=""),"",D18*E18)</f>
        <v/>
      </c>
      <c r="G18" s="2"/>
      <c r="H18" s="2"/>
    </row>
    <row r="19" spans="1:8" x14ac:dyDescent="0.2">
      <c r="A19" s="2"/>
      <c r="B19" s="2"/>
      <c r="C19" s="2"/>
      <c r="D19" s="2"/>
      <c r="E19" s="3"/>
      <c r="F19" s="3" t="str">
        <f>IF(OR(D19="",E19=""),"",D19*E19)</f>
        <v/>
      </c>
      <c r="G19" s="2"/>
      <c r="H19" s="2"/>
    </row>
    <row r="20" spans="1:8" x14ac:dyDescent="0.2">
      <c r="A20" s="2"/>
      <c r="B20" s="2"/>
      <c r="C20" s="2"/>
      <c r="D20" s="2"/>
      <c r="E20" s="3"/>
      <c r="F20" s="3" t="str">
        <f>IF(OR(D20="",E20=""),"",D20*E20)</f>
        <v/>
      </c>
      <c r="G20" s="2"/>
      <c r="H20" s="2"/>
    </row>
    <row r="21" spans="1:8" x14ac:dyDescent="0.2">
      <c r="A21" s="2"/>
      <c r="B21" s="2"/>
      <c r="C21" s="2"/>
      <c r="D21" s="2"/>
      <c r="E21" s="3"/>
      <c r="F21" s="3" t="str">
        <f>IF(OR(D21="",E21=""),"",D21*E21)</f>
        <v/>
      </c>
      <c r="G21" s="2"/>
      <c r="H21" s="2"/>
    </row>
    <row r="22" spans="1:8" x14ac:dyDescent="0.2">
      <c r="A22" s="2"/>
      <c r="B22" s="2"/>
      <c r="C22" s="2"/>
      <c r="D22" s="2"/>
      <c r="E22" s="3"/>
      <c r="F22" s="3" t="str">
        <f>IF(OR(D22="",E22=""),"",D22*E22)</f>
        <v/>
      </c>
      <c r="G22" s="2"/>
      <c r="H22" s="2"/>
    </row>
    <row r="23" spans="1:8" x14ac:dyDescent="0.2">
      <c r="A23" s="2"/>
      <c r="B23" s="2"/>
      <c r="C23" s="2"/>
      <c r="D23" s="2"/>
      <c r="E23" s="3"/>
      <c r="F23" s="3" t="str">
        <f>IF(OR(D23="",E23=""),"",D23*E23)</f>
        <v/>
      </c>
      <c r="G23" s="2"/>
      <c r="H23" s="2"/>
    </row>
    <row r="24" spans="1:8" x14ac:dyDescent="0.2">
      <c r="A24" s="2"/>
      <c r="B24" s="2"/>
      <c r="C24" s="2"/>
      <c r="D24" s="2"/>
      <c r="E24" s="3"/>
      <c r="F24" s="3" t="str">
        <f>IF(OR(D24="",E24=""),"",D24*E24)</f>
        <v/>
      </c>
      <c r="G24" s="2"/>
      <c r="H24" s="2"/>
    </row>
    <row r="25" spans="1:8" x14ac:dyDescent="0.2">
      <c r="A25" s="2"/>
      <c r="B25" s="2"/>
      <c r="C25" s="2"/>
      <c r="D25" s="2"/>
      <c r="E25" s="3"/>
      <c r="F25" s="3" t="str">
        <f>IF(OR(D25="",E25=""),"",D25*E25)</f>
        <v/>
      </c>
      <c r="G25" s="2"/>
      <c r="H25" s="2"/>
    </row>
    <row r="26" spans="1:8" x14ac:dyDescent="0.2">
      <c r="A26" s="2"/>
      <c r="B26" s="2"/>
      <c r="C26" s="2"/>
      <c r="D26" s="2"/>
      <c r="E26" s="3"/>
      <c r="F26" s="3" t="str">
        <f>IF(OR(D26="",E26=""),"",D26*E26)</f>
        <v/>
      </c>
      <c r="G26" s="2"/>
      <c r="H26" s="2"/>
    </row>
    <row r="27" spans="1:8" x14ac:dyDescent="0.2">
      <c r="A27" s="2"/>
      <c r="B27" s="2"/>
      <c r="C27" s="2"/>
      <c r="D27" s="2"/>
      <c r="E27" s="3"/>
      <c r="F27" s="3" t="str">
        <f>IF(OR(D27="",E27=""),"",D27*E27)</f>
        <v/>
      </c>
      <c r="G27" s="2"/>
      <c r="H27" s="2"/>
    </row>
    <row r="28" spans="1:8" x14ac:dyDescent="0.2">
      <c r="A28" s="2"/>
      <c r="B28" s="2"/>
      <c r="C28" s="2"/>
      <c r="D28" s="2"/>
      <c r="E28" s="3"/>
      <c r="F28" s="3" t="str">
        <f>IF(OR(D28="",E28=""),"",D28*E28)</f>
        <v/>
      </c>
      <c r="G28" s="2"/>
      <c r="H28" s="2"/>
    </row>
    <row r="29" spans="1:8" x14ac:dyDescent="0.2">
      <c r="A29" s="2"/>
      <c r="B29" s="2"/>
      <c r="C29" s="2"/>
      <c r="D29" s="2"/>
      <c r="E29" s="3"/>
      <c r="F29" s="3" t="str">
        <f>IF(OR(D29="",E29=""),"",D29*E29)</f>
        <v/>
      </c>
      <c r="G29" s="2"/>
      <c r="H29" s="2"/>
    </row>
    <row r="30" spans="1:8" x14ac:dyDescent="0.2">
      <c r="A30" s="2"/>
      <c r="B30" s="2"/>
      <c r="C30" s="2"/>
      <c r="D30" s="2"/>
      <c r="E30" s="3"/>
      <c r="F30" s="3" t="str">
        <f>IF(OR(D30="",E30=""),"",D30*E30)</f>
        <v/>
      </c>
      <c r="G30" s="2"/>
      <c r="H30" s="2"/>
    </row>
    <row r="31" spans="1:8" x14ac:dyDescent="0.2">
      <c r="A31" s="2"/>
      <c r="B31" s="2"/>
      <c r="C31" s="2"/>
      <c r="D31" s="2"/>
      <c r="E31" s="3"/>
      <c r="F31" s="3" t="str">
        <f>IF(OR(D31="",E31=""),"",D31*E31)</f>
        <v/>
      </c>
      <c r="G31" s="2"/>
      <c r="H31" s="2"/>
    </row>
    <row r="32" spans="1:8" x14ac:dyDescent="0.2">
      <c r="A32" s="2"/>
      <c r="B32" s="2"/>
      <c r="C32" s="2"/>
      <c r="D32" s="2"/>
      <c r="E32" s="3"/>
      <c r="F32" s="3" t="str">
        <f>IF(OR(D32="",E32=""),"",D32*E32)</f>
        <v/>
      </c>
      <c r="G32" s="2"/>
      <c r="H32" s="2"/>
    </row>
    <row r="33" spans="1:8" x14ac:dyDescent="0.2">
      <c r="A33" s="2"/>
      <c r="B33" s="2"/>
      <c r="C33" s="2"/>
      <c r="D33" s="2"/>
      <c r="E33" s="3"/>
      <c r="F33" s="3" t="str">
        <f>IF(OR(D33="",E33=""),"",D33*E33)</f>
        <v/>
      </c>
      <c r="G33" s="2"/>
      <c r="H33" s="2"/>
    </row>
    <row r="34" spans="1:8" x14ac:dyDescent="0.2">
      <c r="A34" s="2"/>
      <c r="B34" s="2"/>
      <c r="C34" s="2"/>
      <c r="D34" s="2"/>
      <c r="E34" s="3"/>
      <c r="F34" s="3" t="str">
        <f>IF(OR(D34="",E34=""),"",D34*E34)</f>
        <v/>
      </c>
      <c r="G34" s="2"/>
      <c r="H34" s="2"/>
    </row>
    <row r="35" spans="1:8" x14ac:dyDescent="0.2">
      <c r="A35" s="2"/>
      <c r="B35" s="2"/>
      <c r="C35" s="2"/>
      <c r="D35" s="2"/>
      <c r="E35" s="3"/>
      <c r="F35" s="3" t="str">
        <f>IF(OR(D35="",E35=""),"",D35*E35)</f>
        <v/>
      </c>
      <c r="G35" s="2"/>
      <c r="H35" s="2"/>
    </row>
    <row r="36" spans="1:8" x14ac:dyDescent="0.2">
      <c r="A36" s="2"/>
      <c r="B36" s="2"/>
      <c r="C36" s="2"/>
      <c r="D36" s="2"/>
      <c r="E36" s="3"/>
      <c r="F36" s="3" t="str">
        <f>IF(OR(D36="",E36=""),"",D36*E36)</f>
        <v/>
      </c>
      <c r="G36" s="2"/>
      <c r="H36" s="2"/>
    </row>
    <row r="37" spans="1:8" x14ac:dyDescent="0.2">
      <c r="A37" s="2"/>
      <c r="B37" s="2"/>
      <c r="C37" s="2"/>
      <c r="D37" s="2"/>
      <c r="E37" s="3"/>
      <c r="F37" s="3" t="str">
        <f>IF(OR(D37="",E37=""),"",D37*E37)</f>
        <v/>
      </c>
      <c r="G37" s="2"/>
      <c r="H37" s="2"/>
    </row>
    <row r="38" spans="1:8" x14ac:dyDescent="0.2">
      <c r="A38" s="2"/>
      <c r="B38" s="2"/>
      <c r="C38" s="2"/>
      <c r="D38" s="2"/>
      <c r="E38" s="3"/>
      <c r="F38" s="3" t="str">
        <f>IF(OR(D38="",E38=""),"",D38*E38)</f>
        <v/>
      </c>
      <c r="G38" s="2"/>
      <c r="H38" s="2"/>
    </row>
    <row r="39" spans="1:8" x14ac:dyDescent="0.2">
      <c r="A39" s="2"/>
      <c r="B39" s="2"/>
      <c r="C39" s="2"/>
      <c r="D39" s="2"/>
      <c r="E39" s="3"/>
      <c r="F39" s="3" t="str">
        <f>IF(OR(D39="",E39=""),"",D39*E39)</f>
        <v/>
      </c>
      <c r="G39" s="2"/>
      <c r="H39" s="2"/>
    </row>
    <row r="40" spans="1:8" x14ac:dyDescent="0.2">
      <c r="A40" s="2"/>
      <c r="B40" s="2"/>
      <c r="C40" s="2"/>
      <c r="D40" s="2"/>
      <c r="E40" s="3"/>
      <c r="F40" s="3" t="str">
        <f>IF(OR(D40="",E40=""),"",D40*E40)</f>
        <v/>
      </c>
      <c r="G40" s="2"/>
      <c r="H40" s="2"/>
    </row>
    <row r="41" spans="1:8" x14ac:dyDescent="0.2">
      <c r="A41" s="2"/>
      <c r="B41" s="2"/>
      <c r="C41" s="2"/>
      <c r="D41" s="2"/>
      <c r="E41" s="3"/>
      <c r="F41" s="3" t="str">
        <f>IF(OR(D41="",E41=""),"",D41*E41)</f>
        <v/>
      </c>
      <c r="G41" s="2"/>
      <c r="H41" s="2"/>
    </row>
    <row r="42" spans="1:8" x14ac:dyDescent="0.2">
      <c r="A42" s="2"/>
      <c r="B42" s="2"/>
      <c r="C42" s="2"/>
      <c r="D42" s="2"/>
      <c r="E42" s="3"/>
      <c r="F42" s="3" t="str">
        <f>IF(OR(D42="",E42=""),"",D42*E42)</f>
        <v/>
      </c>
      <c r="G42" s="2"/>
      <c r="H42" s="2"/>
    </row>
    <row r="43" spans="1:8" x14ac:dyDescent="0.2">
      <c r="A43" s="2"/>
      <c r="B43" s="2"/>
      <c r="C43" s="2"/>
      <c r="D43" s="2"/>
      <c r="E43" s="3"/>
      <c r="F43" s="3" t="str">
        <f>IF(OR(D43="",E43=""),"",D43*E43)</f>
        <v/>
      </c>
      <c r="G43" s="2"/>
      <c r="H43" s="2"/>
    </row>
    <row r="44" spans="1:8" x14ac:dyDescent="0.2">
      <c r="A44" s="2"/>
      <c r="B44" s="2"/>
      <c r="C44" s="2"/>
      <c r="D44" s="2"/>
      <c r="E44" s="3"/>
      <c r="F44" s="3" t="str">
        <f>IF(OR(D44="",E44=""),"",D44*E44)</f>
        <v/>
      </c>
      <c r="G44" s="2"/>
      <c r="H44" s="2"/>
    </row>
    <row r="45" spans="1:8" x14ac:dyDescent="0.2">
      <c r="A45" s="2"/>
      <c r="B45" s="2"/>
      <c r="C45" s="2"/>
      <c r="D45" s="2"/>
      <c r="E45" s="3"/>
      <c r="F45" s="3" t="str">
        <f>IF(OR(D45="",E45=""),"",D45*E45)</f>
        <v/>
      </c>
      <c r="G45" s="2"/>
      <c r="H45" s="2"/>
    </row>
    <row r="46" spans="1:8" x14ac:dyDescent="0.2">
      <c r="A46" s="2"/>
      <c r="B46" s="2"/>
      <c r="C46" s="2"/>
      <c r="D46" s="2"/>
      <c r="E46" s="3"/>
      <c r="F46" s="3" t="str">
        <f>IF(OR(D46="",E46=""),"",D46*E46)</f>
        <v/>
      </c>
      <c r="G46" s="2"/>
      <c r="H46" s="2"/>
    </row>
    <row r="47" spans="1:8" x14ac:dyDescent="0.2">
      <c r="A47" s="2"/>
      <c r="B47" s="2"/>
      <c r="C47" s="2"/>
      <c r="D47" s="2"/>
      <c r="E47" s="3"/>
      <c r="F47" s="3" t="str">
        <f>IF(OR(D47="",E47=""),"",D47*E47)</f>
        <v/>
      </c>
      <c r="G47" s="2"/>
      <c r="H47" s="2"/>
    </row>
    <row r="48" spans="1:8" x14ac:dyDescent="0.2">
      <c r="A48" s="2"/>
      <c r="B48" s="2"/>
      <c r="C48" s="2"/>
      <c r="D48" s="2"/>
      <c r="E48" s="3"/>
      <c r="F48" s="3" t="str">
        <f>IF(OR(D48="",E48=""),"",D48*E48)</f>
        <v/>
      </c>
      <c r="G48" s="2"/>
      <c r="H48" s="2"/>
    </row>
    <row r="49" spans="1:8" x14ac:dyDescent="0.2">
      <c r="A49" s="2"/>
      <c r="B49" s="2"/>
      <c r="C49" s="2"/>
      <c r="D49" s="2"/>
      <c r="E49" s="3"/>
      <c r="F49" s="3" t="str">
        <f>IF(OR(D49="",E49=""),"",D49*E49)</f>
        <v/>
      </c>
      <c r="G49" s="2"/>
      <c r="H49" s="2"/>
    </row>
    <row r="50" spans="1:8" x14ac:dyDescent="0.2">
      <c r="A50" s="2"/>
      <c r="B50" s="2"/>
      <c r="C50" s="2"/>
      <c r="D50" s="2"/>
      <c r="E50" s="3"/>
      <c r="F50" s="3" t="str">
        <f>IF(OR(D50="",E50=""),"",D50*E50)</f>
        <v/>
      </c>
      <c r="G50" s="2"/>
      <c r="H50" s="2"/>
    </row>
    <row r="51" spans="1:8" x14ac:dyDescent="0.2">
      <c r="A51" s="2"/>
      <c r="B51" s="2"/>
      <c r="C51" s="2"/>
      <c r="D51" s="2"/>
      <c r="E51" s="3"/>
      <c r="F51" s="3" t="str">
        <f>IF(OR(D51="",E51=""),"",D51*E51)</f>
        <v/>
      </c>
      <c r="G51" s="2"/>
      <c r="H51" s="2"/>
    </row>
    <row r="52" spans="1:8" x14ac:dyDescent="0.2">
      <c r="A52" s="2"/>
      <c r="B52" s="2"/>
      <c r="C52" s="2"/>
      <c r="D52" s="2"/>
      <c r="E52" s="3"/>
      <c r="F52" s="3" t="str">
        <f>IF(OR(D52="",E52=""),"",D52*E52)</f>
        <v/>
      </c>
      <c r="G52" s="2"/>
      <c r="H52" s="2"/>
    </row>
    <row r="53" spans="1:8" x14ac:dyDescent="0.2">
      <c r="A53" s="2"/>
      <c r="B53" s="2"/>
      <c r="C53" s="2"/>
      <c r="D53" s="2"/>
      <c r="E53" s="3"/>
      <c r="F53" s="3" t="str">
        <f>IF(OR(D53="",E53=""),"",D53*E53)</f>
        <v/>
      </c>
      <c r="G53" s="2"/>
      <c r="H53" s="2"/>
    </row>
    <row r="54" spans="1:8" x14ac:dyDescent="0.2">
      <c r="A54" s="2"/>
      <c r="B54" s="2"/>
      <c r="C54" s="2"/>
      <c r="D54" s="2"/>
      <c r="E54" s="3"/>
      <c r="F54" s="3" t="str">
        <f>IF(OR(D54="",E54=""),"",D54*E54)</f>
        <v/>
      </c>
      <c r="G54" s="2"/>
      <c r="H54" s="2"/>
    </row>
    <row r="55" spans="1:8" x14ac:dyDescent="0.2">
      <c r="A55" s="2"/>
      <c r="B55" s="2"/>
      <c r="C55" s="2"/>
      <c r="D55" s="2"/>
      <c r="E55" s="3"/>
      <c r="F55" s="3" t="str">
        <f>IF(OR(D55="",E55=""),"",D55*E55)</f>
        <v/>
      </c>
      <c r="G55" s="2"/>
      <c r="H55" s="2"/>
    </row>
    <row r="56" spans="1:8" x14ac:dyDescent="0.2">
      <c r="A56" s="2"/>
      <c r="B56" s="2"/>
      <c r="C56" s="2"/>
      <c r="D56" s="2"/>
      <c r="E56" s="3"/>
      <c r="F56" s="3" t="str">
        <f>IF(OR(D56="",E56=""),"",D56*E56)</f>
        <v/>
      </c>
      <c r="G56" s="2"/>
      <c r="H56" s="2"/>
    </row>
    <row r="57" spans="1:8" x14ac:dyDescent="0.2">
      <c r="A57" s="2"/>
      <c r="B57" s="2"/>
      <c r="C57" s="2"/>
      <c r="D57" s="2"/>
      <c r="E57" s="3"/>
      <c r="F57" s="3" t="str">
        <f>IF(OR(D57="",E57=""),"",D57*E57)</f>
        <v/>
      </c>
      <c r="G57" s="2"/>
      <c r="H57" s="2"/>
    </row>
    <row r="58" spans="1:8" x14ac:dyDescent="0.2">
      <c r="A58" s="2"/>
      <c r="B58" s="2"/>
      <c r="C58" s="2"/>
      <c r="D58" s="2"/>
      <c r="E58" s="3"/>
      <c r="F58" s="3" t="str">
        <f>IF(OR(D58="",E58=""),"",D58*E58)</f>
        <v/>
      </c>
      <c r="G58" s="2"/>
      <c r="H58" s="2"/>
    </row>
    <row r="59" spans="1:8" x14ac:dyDescent="0.2">
      <c r="A59" s="2"/>
      <c r="B59" s="2"/>
      <c r="C59" s="2"/>
      <c r="D59" s="2"/>
      <c r="E59" s="3"/>
      <c r="F59" s="3" t="str">
        <f>IF(OR(D59="",E59=""),"",D59*E59)</f>
        <v/>
      </c>
      <c r="G59" s="2"/>
      <c r="H59" s="2"/>
    </row>
    <row r="60" spans="1:8" x14ac:dyDescent="0.2">
      <c r="A60" s="2"/>
      <c r="B60" s="2"/>
      <c r="C60" s="2"/>
      <c r="D60" s="2"/>
      <c r="E60" s="3"/>
      <c r="F60" s="3" t="str">
        <f>IF(OR(D60="",E60=""),"",D60*E60)</f>
        <v/>
      </c>
      <c r="G60" s="2"/>
      <c r="H60" s="2"/>
    </row>
    <row r="61" spans="1:8" x14ac:dyDescent="0.2">
      <c r="A61" s="2"/>
      <c r="B61" s="2"/>
      <c r="C61" s="2"/>
      <c r="D61" s="2"/>
      <c r="E61" s="3"/>
      <c r="F61" s="3" t="str">
        <f>IF(OR(D61="",E61=""),"",D61*E61)</f>
        <v/>
      </c>
      <c r="G61" s="2"/>
      <c r="H61" s="2"/>
    </row>
    <row r="62" spans="1:8" x14ac:dyDescent="0.2">
      <c r="A62" s="2"/>
      <c r="B62" s="2"/>
      <c r="C62" s="2"/>
      <c r="D62" s="2"/>
      <c r="E62" s="3"/>
      <c r="F62" s="3" t="str">
        <f>IF(OR(D62="",E62=""),"",D62*E62)</f>
        <v/>
      </c>
      <c r="G62" s="2"/>
      <c r="H62" s="2"/>
    </row>
    <row r="63" spans="1:8" x14ac:dyDescent="0.2">
      <c r="A63" s="2"/>
      <c r="B63" s="2"/>
      <c r="C63" s="2"/>
      <c r="D63" s="2"/>
      <c r="E63" s="3"/>
      <c r="F63" s="3" t="str">
        <f>IF(OR(D63="",E63=""),"",D63*E63)</f>
        <v/>
      </c>
      <c r="G63" s="2"/>
      <c r="H63" s="2"/>
    </row>
    <row r="64" spans="1:8" x14ac:dyDescent="0.2">
      <c r="A64" s="2"/>
      <c r="B64" s="2"/>
      <c r="C64" s="2"/>
      <c r="D64" s="2"/>
      <c r="E64" s="3"/>
      <c r="F64" s="3" t="str">
        <f>IF(OR(D64="",E64=""),"",D64*E64)</f>
        <v/>
      </c>
      <c r="G64" s="2"/>
      <c r="H64" s="2"/>
    </row>
    <row r="65" spans="1:8" x14ac:dyDescent="0.2">
      <c r="A65" s="2"/>
      <c r="B65" s="2"/>
      <c r="C65" s="2"/>
      <c r="D65" s="2"/>
      <c r="E65" s="3"/>
      <c r="F65" s="3" t="str">
        <f>IF(OR(D65="",E65=""),"",D65*E65)</f>
        <v/>
      </c>
      <c r="G65" s="2"/>
      <c r="H65" s="2"/>
    </row>
    <row r="66" spans="1:8" x14ac:dyDescent="0.2">
      <c r="A66" s="2"/>
      <c r="B66" s="2"/>
      <c r="C66" s="2"/>
      <c r="D66" s="2"/>
      <c r="E66" s="3"/>
      <c r="F66" s="3" t="str">
        <f>IF(OR(D66="",E66=""),"",D66*E66)</f>
        <v/>
      </c>
      <c r="G66" s="2"/>
      <c r="H66" s="2"/>
    </row>
    <row r="67" spans="1:8" x14ac:dyDescent="0.2">
      <c r="A67" s="2"/>
      <c r="B67" s="2"/>
      <c r="C67" s="2"/>
      <c r="D67" s="2"/>
      <c r="E67" s="3"/>
      <c r="F67" s="3" t="str">
        <f>IF(OR(D67="",E67=""),"",D67*E67)</f>
        <v/>
      </c>
      <c r="G67" s="2"/>
      <c r="H67" s="2"/>
    </row>
    <row r="68" spans="1:8" x14ac:dyDescent="0.2">
      <c r="A68" s="2"/>
      <c r="B68" s="2"/>
      <c r="C68" s="2"/>
      <c r="D68" s="2"/>
      <c r="E68" s="3"/>
      <c r="F68" s="3" t="str">
        <f>IF(OR(D68="",E68=""),"",D68*E68)</f>
        <v/>
      </c>
      <c r="G68" s="2"/>
      <c r="H68" s="2"/>
    </row>
    <row r="69" spans="1:8" x14ac:dyDescent="0.2">
      <c r="A69" s="2"/>
      <c r="B69" s="2"/>
      <c r="C69" s="2"/>
      <c r="D69" s="2"/>
      <c r="E69" s="3"/>
      <c r="F69" s="3" t="str">
        <f>IF(OR(D69="",E69=""),"",D69*E69)</f>
        <v/>
      </c>
      <c r="G69" s="2"/>
      <c r="H69" s="2"/>
    </row>
    <row r="70" spans="1:8" x14ac:dyDescent="0.2">
      <c r="A70" s="2"/>
      <c r="B70" s="2"/>
      <c r="C70" s="2"/>
      <c r="D70" s="2"/>
      <c r="E70" s="3"/>
      <c r="F70" s="3" t="str">
        <f>IF(OR(D70="",E70=""),"",D70*E70)</f>
        <v/>
      </c>
      <c r="G70" s="2"/>
      <c r="H70" s="2"/>
    </row>
    <row r="71" spans="1:8" x14ac:dyDescent="0.2">
      <c r="A71" s="2"/>
      <c r="B71" s="2"/>
      <c r="C71" s="2"/>
      <c r="D71" s="2"/>
      <c r="E71" s="3"/>
      <c r="F71" s="3" t="str">
        <f>IF(OR(D71="",E71=""),"",D71*E71)</f>
        <v/>
      </c>
      <c r="G71" s="2"/>
      <c r="H71" s="2"/>
    </row>
    <row r="72" spans="1:8" x14ac:dyDescent="0.2">
      <c r="A72" s="2"/>
      <c r="B72" s="2"/>
      <c r="C72" s="2"/>
      <c r="D72" s="2"/>
      <c r="E72" s="3"/>
      <c r="F72" s="3" t="str">
        <f>IF(OR(D72="",E72=""),"",D72*E72)</f>
        <v/>
      </c>
      <c r="G72" s="2"/>
      <c r="H72" s="2"/>
    </row>
    <row r="73" spans="1:8" x14ac:dyDescent="0.2">
      <c r="A73" s="2"/>
      <c r="B73" s="2"/>
      <c r="C73" s="2"/>
      <c r="D73" s="2"/>
      <c r="E73" s="3"/>
      <c r="F73" s="3" t="str">
        <f>IF(OR(D73="",E73=""),"",D73*E73)</f>
        <v/>
      </c>
      <c r="G73" s="2"/>
      <c r="H73" s="2"/>
    </row>
    <row r="74" spans="1:8" x14ac:dyDescent="0.2">
      <c r="A74" s="2"/>
      <c r="B74" s="2"/>
      <c r="C74" s="2"/>
      <c r="D74" s="2"/>
      <c r="E74" s="3"/>
      <c r="F74" s="3" t="str">
        <f>IF(OR(D74="",E74=""),"",D74*E74)</f>
        <v/>
      </c>
      <c r="G74" s="2"/>
      <c r="H74" s="2"/>
    </row>
    <row r="75" spans="1:8" x14ac:dyDescent="0.2">
      <c r="A75" s="2"/>
      <c r="B75" s="2"/>
      <c r="C75" s="2"/>
      <c r="D75" s="2"/>
      <c r="E75" s="3"/>
      <c r="F75" s="3" t="str">
        <f>IF(OR(D75="",E75=""),"",D75*E75)</f>
        <v/>
      </c>
      <c r="G75" s="2"/>
      <c r="H75" s="2"/>
    </row>
    <row r="76" spans="1:8" x14ac:dyDescent="0.2">
      <c r="A76" s="2"/>
      <c r="B76" s="2"/>
      <c r="C76" s="2"/>
      <c r="D76" s="2"/>
      <c r="E76" s="3"/>
      <c r="F76" s="3" t="str">
        <f>IF(OR(D76="",E76=""),"",D76*E76)</f>
        <v/>
      </c>
      <c r="G76" s="2"/>
      <c r="H76" s="2"/>
    </row>
    <row r="77" spans="1:8" x14ac:dyDescent="0.2">
      <c r="A77" s="2"/>
      <c r="B77" s="2"/>
      <c r="C77" s="2"/>
      <c r="D77" s="2"/>
      <c r="E77" s="3"/>
      <c r="F77" s="3" t="str">
        <f>IF(OR(D77="",E77=""),"",D77*E77)</f>
        <v/>
      </c>
      <c r="G77" s="2"/>
      <c r="H77" s="2"/>
    </row>
    <row r="78" spans="1:8" x14ac:dyDescent="0.2">
      <c r="A78" s="2"/>
      <c r="B78" s="2"/>
      <c r="C78" s="2"/>
      <c r="D78" s="2"/>
      <c r="E78" s="3"/>
      <c r="F78" s="3" t="str">
        <f>IF(OR(D78="",E78=""),"",D78*E78)</f>
        <v/>
      </c>
      <c r="G78" s="2"/>
      <c r="H78" s="2"/>
    </row>
    <row r="79" spans="1:8" x14ac:dyDescent="0.2">
      <c r="A79" s="2"/>
      <c r="B79" s="2"/>
      <c r="C79" s="2"/>
      <c r="D79" s="2"/>
      <c r="E79" s="3"/>
      <c r="F79" s="3" t="str">
        <f>IF(OR(D79="",E79=""),"",D79*E79)</f>
        <v/>
      </c>
      <c r="G79" s="2"/>
      <c r="H79" s="2"/>
    </row>
    <row r="80" spans="1:8" x14ac:dyDescent="0.2">
      <c r="A80" s="2"/>
      <c r="B80" s="2"/>
      <c r="C80" s="2"/>
      <c r="D80" s="2"/>
      <c r="E80" s="3"/>
      <c r="F80" s="3" t="str">
        <f>IF(OR(D80="",E80=""),"",D80*E80)</f>
        <v/>
      </c>
      <c r="G80" s="2"/>
      <c r="H80" s="2"/>
    </row>
    <row r="81" spans="1:8" x14ac:dyDescent="0.2">
      <c r="A81" s="2"/>
      <c r="B81" s="2"/>
      <c r="C81" s="2"/>
      <c r="D81" s="2"/>
      <c r="E81" s="3"/>
      <c r="F81" s="3" t="str">
        <f>IF(OR(D81="",E81=""),"",D81*E81)</f>
        <v/>
      </c>
      <c r="G81" s="2"/>
      <c r="H81" s="2"/>
    </row>
    <row r="82" spans="1:8" x14ac:dyDescent="0.2">
      <c r="A82" s="2"/>
      <c r="B82" s="2"/>
      <c r="C82" s="2"/>
      <c r="D82" s="2"/>
      <c r="E82" s="3"/>
      <c r="F82" s="3" t="str">
        <f>IF(OR(D82="",E82=""),"",D82*E82)</f>
        <v/>
      </c>
      <c r="G82" s="2"/>
      <c r="H82" s="2"/>
    </row>
    <row r="83" spans="1:8" x14ac:dyDescent="0.2">
      <c r="A83" s="2"/>
      <c r="B83" s="2"/>
      <c r="C83" s="2"/>
      <c r="D83" s="2"/>
      <c r="E83" s="3"/>
      <c r="F83" s="3" t="str">
        <f>IF(OR(D83="",E83=""),"",D83*E83)</f>
        <v/>
      </c>
      <c r="G83" s="2"/>
      <c r="H83" s="2"/>
    </row>
    <row r="84" spans="1:8" x14ac:dyDescent="0.2">
      <c r="A84" s="2"/>
      <c r="B84" s="2"/>
      <c r="C84" s="2"/>
      <c r="D84" s="2"/>
      <c r="E84" s="3"/>
      <c r="F84" s="3" t="str">
        <f>IF(OR(D84="",E84=""),"",D84*E84)</f>
        <v/>
      </c>
      <c r="G84" s="2"/>
      <c r="H84" s="2"/>
    </row>
    <row r="85" spans="1:8" x14ac:dyDescent="0.2">
      <c r="A85" s="2"/>
      <c r="B85" s="2"/>
      <c r="C85" s="2"/>
      <c r="D85" s="2"/>
      <c r="E85" s="3"/>
      <c r="F85" s="3" t="str">
        <f>IF(OR(D85="",E85=""),"",D85*E85)</f>
        <v/>
      </c>
      <c r="G85" s="2"/>
      <c r="H85" s="2"/>
    </row>
    <row r="86" spans="1:8" x14ac:dyDescent="0.2">
      <c r="A86" s="2"/>
      <c r="B86" s="2"/>
      <c r="C86" s="2"/>
      <c r="D86" s="2"/>
      <c r="E86" s="3"/>
      <c r="F86" s="3" t="str">
        <f>IF(OR(D86="",E86=""),"",D86*E86)</f>
        <v/>
      </c>
      <c r="G86" s="2"/>
      <c r="H86" s="2"/>
    </row>
    <row r="87" spans="1:8" x14ac:dyDescent="0.2">
      <c r="A87" s="2"/>
      <c r="B87" s="2"/>
      <c r="C87" s="2"/>
      <c r="D87" s="2"/>
      <c r="E87" s="3"/>
      <c r="F87" s="3" t="str">
        <f>IF(OR(D87="",E87=""),"",D87*E87)</f>
        <v/>
      </c>
      <c r="G87" s="2"/>
      <c r="H87" s="2"/>
    </row>
    <row r="88" spans="1:8" x14ac:dyDescent="0.2">
      <c r="A88" s="2"/>
      <c r="B88" s="2"/>
      <c r="C88" s="2"/>
      <c r="D88" s="2"/>
      <c r="E88" s="3"/>
      <c r="F88" s="3" t="str">
        <f>IF(OR(D88="",E88=""),"",D88*E88)</f>
        <v/>
      </c>
      <c r="G88" s="2"/>
      <c r="H88" s="2"/>
    </row>
    <row r="89" spans="1:8" x14ac:dyDescent="0.2">
      <c r="A89" s="2"/>
      <c r="B89" s="2"/>
      <c r="C89" s="2"/>
      <c r="D89" s="2"/>
      <c r="E89" s="3"/>
      <c r="F89" s="3" t="str">
        <f>IF(OR(D89="",E89=""),"",D89*E89)</f>
        <v/>
      </c>
      <c r="G89" s="2"/>
      <c r="H89" s="2"/>
    </row>
    <row r="90" spans="1:8" x14ac:dyDescent="0.2">
      <c r="A90" s="2"/>
      <c r="B90" s="2"/>
      <c r="C90" s="2"/>
      <c r="D90" s="2"/>
      <c r="E90" s="3"/>
      <c r="F90" s="3" t="str">
        <f>IF(OR(D90="",E90=""),"",D90*E90)</f>
        <v/>
      </c>
      <c r="G90" s="2"/>
      <c r="H90" s="2"/>
    </row>
    <row r="91" spans="1:8" x14ac:dyDescent="0.2">
      <c r="A91" s="2"/>
      <c r="B91" s="2"/>
      <c r="C91" s="2"/>
      <c r="D91" s="2"/>
      <c r="E91" s="3"/>
      <c r="F91" s="3" t="str">
        <f>IF(OR(D91="",E91=""),"",D91*E91)</f>
        <v/>
      </c>
      <c r="G91" s="2"/>
      <c r="H91" s="2"/>
    </row>
    <row r="92" spans="1:8" x14ac:dyDescent="0.2">
      <c r="A92" s="2"/>
      <c r="B92" s="2"/>
      <c r="C92" s="2"/>
      <c r="D92" s="2"/>
      <c r="E92" s="3"/>
      <c r="F92" s="3" t="str">
        <f>IF(OR(D92="",E92=""),"",D92*E92)</f>
        <v/>
      </c>
      <c r="G92" s="2"/>
      <c r="H92" s="2"/>
    </row>
    <row r="93" spans="1:8" x14ac:dyDescent="0.2">
      <c r="A93" s="2"/>
      <c r="B93" s="2"/>
      <c r="C93" s="2"/>
      <c r="D93" s="2"/>
      <c r="E93" s="3"/>
      <c r="F93" s="3" t="str">
        <f>IF(OR(D93="",E93=""),"",D93*E93)</f>
        <v/>
      </c>
      <c r="G93" s="2"/>
      <c r="H93" s="2"/>
    </row>
    <row r="94" spans="1:8" x14ac:dyDescent="0.2">
      <c r="A94" s="2"/>
      <c r="B94" s="2"/>
      <c r="C94" s="2"/>
      <c r="D94" s="2"/>
      <c r="E94" s="3"/>
      <c r="F94" s="3" t="str">
        <f>IF(OR(D94="",E94=""),"",D94*E94)</f>
        <v/>
      </c>
      <c r="G94" s="2"/>
      <c r="H94" s="2"/>
    </row>
    <row r="95" spans="1:8" x14ac:dyDescent="0.2">
      <c r="A95" s="2"/>
      <c r="B95" s="2"/>
      <c r="C95" s="2"/>
      <c r="D95" s="2"/>
      <c r="E95" s="3"/>
      <c r="F95" s="3" t="str">
        <f>IF(OR(D95="",E95=""),"",D95*E95)</f>
        <v/>
      </c>
      <c r="G95" s="2"/>
      <c r="H95" s="2"/>
    </row>
    <row r="96" spans="1:8" x14ac:dyDescent="0.2">
      <c r="A96" s="2"/>
      <c r="B96" s="2"/>
      <c r="C96" s="2"/>
      <c r="D96" s="2"/>
      <c r="E96" s="3"/>
      <c r="F96" s="3" t="str">
        <f>IF(OR(D96="",E96=""),"",D96*E96)</f>
        <v/>
      </c>
      <c r="G96" s="2"/>
      <c r="H96" s="2"/>
    </row>
    <row r="97" spans="1:8" x14ac:dyDescent="0.2">
      <c r="A97" s="2"/>
      <c r="B97" s="2"/>
      <c r="C97" s="2"/>
      <c r="D97" s="2"/>
      <c r="E97" s="3"/>
      <c r="F97" s="3" t="str">
        <f>IF(OR(D97="",E97=""),"",D97*E97)</f>
        <v/>
      </c>
      <c r="G97" s="2"/>
      <c r="H97" s="2"/>
    </row>
    <row r="98" spans="1:8" x14ac:dyDescent="0.2">
      <c r="A98" s="2"/>
      <c r="B98" s="2"/>
      <c r="C98" s="2"/>
      <c r="D98" s="2"/>
      <c r="E98" s="3"/>
      <c r="F98" s="3" t="str">
        <f>IF(OR(D98="",E98=""),"",D98*E98)</f>
        <v/>
      </c>
      <c r="G98" s="2"/>
      <c r="H98" s="2"/>
    </row>
    <row r="99" spans="1:8" x14ac:dyDescent="0.2">
      <c r="A99" s="2"/>
      <c r="B99" s="2"/>
      <c r="C99" s="2"/>
      <c r="D99" s="2"/>
      <c r="E99" s="3"/>
      <c r="F99" s="3" t="str">
        <f>IF(OR(D99="",E99=""),"",D99*E99)</f>
        <v/>
      </c>
      <c r="G99" s="2"/>
      <c r="H99" s="2"/>
    </row>
    <row r="100" spans="1:8" x14ac:dyDescent="0.2">
      <c r="A100" s="2"/>
      <c r="B100" s="2"/>
      <c r="C100" s="2"/>
      <c r="D100" s="2"/>
      <c r="E100" s="3"/>
      <c r="F100" s="3" t="str">
        <f>IF(OR(D100="",E100=""),"",D100*E100)</f>
        <v/>
      </c>
      <c r="G100" s="2"/>
      <c r="H100" s="2"/>
    </row>
    <row r="101" spans="1:8" x14ac:dyDescent="0.2">
      <c r="A101" s="2"/>
      <c r="B101" s="2"/>
      <c r="C101" s="2"/>
      <c r="D101" s="2"/>
      <c r="E101" s="3"/>
      <c r="F101" s="3" t="str">
        <f>IF(OR(D101="",E101=""),"",D101*E101)</f>
        <v/>
      </c>
      <c r="G101" s="2"/>
      <c r="H101" s="2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workbookViewId="0">
      <pane ySplit="1" topLeftCell="A2" activePane="bottomLeft" state="frozen"/>
      <selection pane="bottomLeft" activeCell="B10" sqref="B10"/>
    </sheetView>
  </sheetViews>
  <sheetFormatPr defaultColWidth="9.01171875" defaultRowHeight="15" x14ac:dyDescent="0.2"/>
  <cols>
    <col min="1" max="1" width="11.97265625" style="17" customWidth="1"/>
    <col min="2" max="3" width="27.98046875" style="17" customWidth="1"/>
    <col min="4" max="4" width="23.9453125" style="17" customWidth="1"/>
  </cols>
  <sheetData>
    <row r="1" spans="1:4" x14ac:dyDescent="0.2">
      <c r="A1" s="1" t="s">
        <v>56</v>
      </c>
      <c r="B1" s="1" t="s">
        <v>74</v>
      </c>
      <c r="C1" s="1" t="s">
        <v>75</v>
      </c>
      <c r="D1" s="1" t="s">
        <v>76</v>
      </c>
    </row>
    <row r="2" spans="1:4" x14ac:dyDescent="0.2">
      <c r="A2" t="s">
        <v>60</v>
      </c>
      <c r="B2" s="2">
        <f>IF(A2="","",SUMIF(Production!B:B,A2,Production!D:D))</f>
        <v>500</v>
      </c>
      <c r="C2" s="2">
        <f>IF(A2="","",SUMIF(Sales!B:B,A2,Sales!D:D))</f>
        <v>300</v>
      </c>
      <c r="D2" s="2">
        <f>IF(A2="","",B2-C2)</f>
        <v>200</v>
      </c>
    </row>
    <row r="3" spans="1:4" x14ac:dyDescent="0.2">
      <c r="A3" t="s">
        <v>61</v>
      </c>
      <c r="B3" s="2">
        <f>IF(A3="","",SUMIF(Production!B:B,A3,Production!D:D))</f>
        <v>400</v>
      </c>
      <c r="C3" s="2">
        <f>IF(A3="","",SUMIF(Sales!B:B,A3,Sales!D:D))</f>
        <v>300</v>
      </c>
      <c r="D3" s="2">
        <f>IF(A3="","",B3-C3)</f>
        <v>100</v>
      </c>
    </row>
    <row r="4" spans="1:4" x14ac:dyDescent="0.2">
      <c r="A4" t="s">
        <v>67</v>
      </c>
      <c r="B4" s="2">
        <f>IF(A4="","",SUMIF(Production!B:B,A4,Production!D:D))</f>
        <v>500</v>
      </c>
      <c r="C4" s="2">
        <f>IF(A4="","",SUMIF(Sales!B:B,A4,Sales!D:D))</f>
        <v>250</v>
      </c>
      <c r="D4" s="2">
        <f>IF(A4="","",B4-C4)</f>
        <v>250</v>
      </c>
    </row>
    <row r="5" spans="1:4" x14ac:dyDescent="0.2">
      <c r="A5" s="2"/>
      <c r="B5" s="2" t="str">
        <f>IF(A5="","",SUMIF(Production!B:B,A5,Production!D:D))</f>
        <v/>
      </c>
      <c r="C5" s="2" t="str">
        <f>IF(A5="","",SUMIF(Sales!B:B,A5,Sales!D:D))</f>
        <v/>
      </c>
      <c r="D5" s="2" t="str">
        <f>IF(A5="","",B5-C5)</f>
        <v/>
      </c>
    </row>
    <row r="6" spans="1:4" x14ac:dyDescent="0.2">
      <c r="A6" s="2"/>
      <c r="B6" s="2" t="str">
        <f>IF(A6="","",SUMIF(Production!B:B,A6,Production!D:D))</f>
        <v/>
      </c>
      <c r="C6" s="2" t="str">
        <f>IF(A6="","",SUMIF(Sales!B:B,A6,Sales!D:D))</f>
        <v/>
      </c>
      <c r="D6" s="2" t="str">
        <f>IF(A6="","",B6-C6)</f>
        <v/>
      </c>
    </row>
    <row r="7" spans="1:4" x14ac:dyDescent="0.2">
      <c r="A7" s="2"/>
      <c r="B7" s="2" t="str">
        <f>IF(A7="","",SUMIF(Production!B:B,A7,Production!D:D))</f>
        <v/>
      </c>
      <c r="C7" s="2" t="str">
        <f>IF(A7="","",SUMIF(Sales!B:B,A7,Sales!D:D))</f>
        <v/>
      </c>
      <c r="D7" s="2" t="str">
        <f>IF(A7="","",B7-C7)</f>
        <v/>
      </c>
    </row>
    <row r="8" spans="1:4" x14ac:dyDescent="0.2">
      <c r="A8" s="2"/>
      <c r="B8" s="2" t="str">
        <f>IF(A8="","",SUMIF(Production!B:B,A8,Production!D:D))</f>
        <v/>
      </c>
      <c r="C8" s="2" t="str">
        <f>IF(A8="","",SUMIF(Sales!B:B,A8,Sales!D:D))</f>
        <v/>
      </c>
      <c r="D8" s="2" t="str">
        <f>IF(A8="","",B8-C8)</f>
        <v/>
      </c>
    </row>
    <row r="9" spans="1:4" x14ac:dyDescent="0.2">
      <c r="A9" s="2"/>
      <c r="B9" s="2" t="str">
        <f>IF(A9="","",SUMIF(Production!B:B,A9,Production!D:D))</f>
        <v/>
      </c>
      <c r="C9" s="2" t="str">
        <f>IF(A9="","",SUMIF(Sales!B:B,A9,Sales!D:D))</f>
        <v/>
      </c>
      <c r="D9" s="2" t="str">
        <f>IF(A9="","",B9-C9)</f>
        <v/>
      </c>
    </row>
    <row r="10" spans="1:4" x14ac:dyDescent="0.2">
      <c r="A10" s="2"/>
      <c r="B10" s="2" t="str">
        <f>IF(A10="","",SUMIF(Production!B:B,A10,Production!D:D))</f>
        <v/>
      </c>
      <c r="C10" s="2" t="str">
        <f>IF(A10="","",SUMIF(Sales!B:B,A10,Sales!D:D))</f>
        <v/>
      </c>
      <c r="D10" s="2" t="str">
        <f>IF(A10="","",B10-C10)</f>
        <v/>
      </c>
    </row>
    <row r="11" spans="1:4" x14ac:dyDescent="0.2">
      <c r="A11" s="2"/>
      <c r="B11" s="2" t="str">
        <f>IF(A11="","",SUMIF(Production!B:B,A11,Production!D:D))</f>
        <v/>
      </c>
      <c r="C11" s="2" t="str">
        <f>IF(A11="","",SUMIF(Sales!B:B,A11,Sales!D:D))</f>
        <v/>
      </c>
      <c r="D11" s="2" t="str">
        <f>IF(A11="","",B11-C11)</f>
        <v/>
      </c>
    </row>
    <row r="12" spans="1:4" x14ac:dyDescent="0.2">
      <c r="A12" s="2"/>
      <c r="B12" s="2" t="str">
        <f>IF(A12="","",SUMIF(Production!B:B,A12,Production!D:D))</f>
        <v/>
      </c>
      <c r="C12" s="2" t="str">
        <f>IF(A12="","",SUMIF(Sales!B:B,A12,Sales!D:D))</f>
        <v/>
      </c>
      <c r="D12" s="2" t="str">
        <f>IF(A12="","",B12-C12)</f>
        <v/>
      </c>
    </row>
    <row r="13" spans="1:4" x14ac:dyDescent="0.2">
      <c r="A13" s="2"/>
      <c r="B13" s="2" t="str">
        <f>IF(A13="","",SUMIF(Production!B:B,A13,Production!D:D))</f>
        <v/>
      </c>
      <c r="C13" s="2" t="str">
        <f>IF(A13="","",SUMIF(Sales!B:B,A13,Sales!D:D))</f>
        <v/>
      </c>
      <c r="D13" s="2" t="str">
        <f>IF(A13="","",B13-C13)</f>
        <v/>
      </c>
    </row>
    <row r="14" spans="1:4" x14ac:dyDescent="0.2">
      <c r="A14" s="2"/>
      <c r="B14" s="2" t="str">
        <f>IF(A14="","",SUMIF(Production!B:B,A14,Production!D:D))</f>
        <v/>
      </c>
      <c r="C14" s="2" t="str">
        <f>IF(A14="","",SUMIF(Sales!B:B,A14,Sales!D:D))</f>
        <v/>
      </c>
      <c r="D14" s="2" t="str">
        <f>IF(A14="","",B14-C14)</f>
        <v/>
      </c>
    </row>
    <row r="15" spans="1:4" x14ac:dyDescent="0.2">
      <c r="A15" s="2"/>
      <c r="B15" s="2" t="str">
        <f>IF(A15="","",SUMIF(Production!B:B,A15,Production!D:D))</f>
        <v/>
      </c>
      <c r="C15" s="2" t="str">
        <f>IF(A15="","",SUMIF(Sales!B:B,A15,Sales!D:D))</f>
        <v/>
      </c>
      <c r="D15" s="2" t="str">
        <f>IF(A15="","",B15-C15)</f>
        <v/>
      </c>
    </row>
    <row r="16" spans="1:4" x14ac:dyDescent="0.2">
      <c r="A16" s="2"/>
      <c r="B16" s="2" t="str">
        <f>IF(A16="","",SUMIF(Production!B:B,A16,Production!D:D))</f>
        <v/>
      </c>
      <c r="C16" s="2" t="str">
        <f>IF(A16="","",SUMIF(Sales!B:B,A16,Sales!D:D))</f>
        <v/>
      </c>
      <c r="D16" s="2" t="str">
        <f>IF(A16="","",B16-C16)</f>
        <v/>
      </c>
    </row>
    <row r="17" spans="1:4" x14ac:dyDescent="0.2">
      <c r="A17" s="2"/>
      <c r="B17" s="2" t="str">
        <f>IF(A17="","",SUMIF(Production!B:B,A17,Production!D:D))</f>
        <v/>
      </c>
      <c r="C17" s="2" t="str">
        <f>IF(A17="","",SUMIF(Sales!B:B,A17,Sales!D:D))</f>
        <v/>
      </c>
      <c r="D17" s="2" t="str">
        <f>IF(A17="","",B17-C17)</f>
        <v/>
      </c>
    </row>
    <row r="18" spans="1:4" x14ac:dyDescent="0.2">
      <c r="A18" s="2"/>
      <c r="B18" s="2" t="str">
        <f>IF(A18="","",SUMIF(Production!B:B,A18,Production!D:D))</f>
        <v/>
      </c>
      <c r="C18" s="2" t="str">
        <f>IF(A18="","",SUMIF(Sales!B:B,A18,Sales!D:D))</f>
        <v/>
      </c>
      <c r="D18" s="2" t="str">
        <f>IF(A18="","",B18-C18)</f>
        <v/>
      </c>
    </row>
    <row r="19" spans="1:4" x14ac:dyDescent="0.2">
      <c r="A19" s="2"/>
      <c r="B19" s="2" t="str">
        <f>IF(A19="","",SUMIF(Production!B:B,A19,Production!D:D))</f>
        <v/>
      </c>
      <c r="C19" s="2" t="str">
        <f>IF(A19="","",SUMIF(Sales!B:B,A19,Sales!D:D))</f>
        <v/>
      </c>
      <c r="D19" s="2" t="str">
        <f>IF(A19="","",B19-C19)</f>
        <v/>
      </c>
    </row>
    <row r="20" spans="1:4" x14ac:dyDescent="0.2">
      <c r="A20" s="2"/>
      <c r="B20" s="2" t="str">
        <f>IF(A20="","",SUMIF(Production!B:B,A20,Production!D:D))</f>
        <v/>
      </c>
      <c r="C20" s="2" t="str">
        <f>IF(A20="","",SUMIF(Sales!B:B,A20,Sales!D:D))</f>
        <v/>
      </c>
      <c r="D20" s="2" t="str">
        <f>IF(A20="","",B20-C20)</f>
        <v/>
      </c>
    </row>
    <row r="21" spans="1:4" x14ac:dyDescent="0.2">
      <c r="A21" s="2"/>
      <c r="B21" s="2" t="str">
        <f>IF(A21="","",SUMIF(Production!B:B,A21,Production!D:D))</f>
        <v/>
      </c>
      <c r="C21" s="2" t="str">
        <f>IF(A21="","",SUMIF(Sales!B:B,A21,Sales!D:D))</f>
        <v/>
      </c>
      <c r="D21" s="2" t="str">
        <f>IF(A21="","",B21-C21)</f>
        <v/>
      </c>
    </row>
    <row r="22" spans="1:4" x14ac:dyDescent="0.2">
      <c r="A22" s="2"/>
      <c r="B22" s="2" t="str">
        <f>IF(A22="","",SUMIF(Production!B:B,A22,Production!D:D))</f>
        <v/>
      </c>
      <c r="C22" s="2" t="str">
        <f>IF(A22="","",SUMIF(Sales!B:B,A22,Sales!D:D))</f>
        <v/>
      </c>
      <c r="D22" s="2" t="str">
        <f>IF(A22="","",B22-C22)</f>
        <v/>
      </c>
    </row>
    <row r="23" spans="1:4" x14ac:dyDescent="0.2">
      <c r="A23" s="2"/>
      <c r="B23" s="2" t="str">
        <f>IF(A23="","",SUMIF(Production!B:B,A23,Production!D:D))</f>
        <v/>
      </c>
      <c r="C23" s="2" t="str">
        <f>IF(A23="","",SUMIF(Sales!B:B,A23,Sales!D:D))</f>
        <v/>
      </c>
      <c r="D23" s="2" t="str">
        <f>IF(A23="","",B23-C23)</f>
        <v/>
      </c>
    </row>
    <row r="24" spans="1:4" x14ac:dyDescent="0.2">
      <c r="A24" s="2"/>
      <c r="B24" s="2" t="str">
        <f>IF(A24="","",SUMIF(Production!B:B,A24,Production!D:D))</f>
        <v/>
      </c>
      <c r="C24" s="2" t="str">
        <f>IF(A24="","",SUMIF(Sales!B:B,A24,Sales!D:D))</f>
        <v/>
      </c>
      <c r="D24" s="2" t="str">
        <f>IF(A24="","",B24-C24)</f>
        <v/>
      </c>
    </row>
    <row r="25" spans="1:4" x14ac:dyDescent="0.2">
      <c r="A25" s="2"/>
      <c r="B25" s="2" t="str">
        <f>IF(A25="","",SUMIF(Production!B:B,A25,Production!D:D))</f>
        <v/>
      </c>
      <c r="C25" s="2" t="str">
        <f>IF(A25="","",SUMIF(Sales!B:B,A25,Sales!D:D))</f>
        <v/>
      </c>
      <c r="D25" s="2" t="str">
        <f>IF(A25="","",B25-C25)</f>
        <v/>
      </c>
    </row>
    <row r="26" spans="1:4" x14ac:dyDescent="0.2">
      <c r="A26" s="2"/>
      <c r="B26" s="2" t="str">
        <f>IF(A26="","",SUMIF(Production!B:B,A26,Production!D:D))</f>
        <v/>
      </c>
      <c r="C26" s="2" t="str">
        <f>IF(A26="","",SUMIF(Sales!B:B,A26,Sales!D:D))</f>
        <v/>
      </c>
      <c r="D26" s="2" t="str">
        <f>IF(A26="","",B26-C26)</f>
        <v/>
      </c>
    </row>
    <row r="27" spans="1:4" x14ac:dyDescent="0.2">
      <c r="A27" s="2"/>
      <c r="B27" s="2" t="str">
        <f>IF(A27="","",SUMIF(Production!B:B,A27,Production!D:D))</f>
        <v/>
      </c>
      <c r="C27" s="2" t="str">
        <f>IF(A27="","",SUMIF(Sales!B:B,A27,Sales!D:D))</f>
        <v/>
      </c>
      <c r="D27" s="2" t="str">
        <f>IF(A27="","",B27-C27)</f>
        <v/>
      </c>
    </row>
    <row r="28" spans="1:4" x14ac:dyDescent="0.2">
      <c r="A28" s="2"/>
      <c r="B28" s="2" t="str">
        <f>IF(A28="","",SUMIF(Production!B:B,A28,Production!D:D))</f>
        <v/>
      </c>
      <c r="C28" s="2" t="str">
        <f>IF(A28="","",SUMIF(Sales!B:B,A28,Sales!D:D))</f>
        <v/>
      </c>
      <c r="D28" s="2" t="str">
        <f>IF(A28="","",B28-C28)</f>
        <v/>
      </c>
    </row>
    <row r="29" spans="1:4" x14ac:dyDescent="0.2">
      <c r="A29" s="2"/>
      <c r="B29" s="2" t="str">
        <f>IF(A29="","",SUMIF(Production!B:B,A29,Production!D:D))</f>
        <v/>
      </c>
      <c r="C29" s="2" t="str">
        <f>IF(A29="","",SUMIF(Sales!B:B,A29,Sales!D:D))</f>
        <v/>
      </c>
      <c r="D29" s="2" t="str">
        <f>IF(A29="","",B29-C29)</f>
        <v/>
      </c>
    </row>
    <row r="30" spans="1:4" x14ac:dyDescent="0.2">
      <c r="A30" s="2"/>
      <c r="B30" s="2" t="str">
        <f>IF(A30="","",SUMIF(Production!B:B,A30,Production!D:D))</f>
        <v/>
      </c>
      <c r="C30" s="2" t="str">
        <f>IF(A30="","",SUMIF(Sales!B:B,A30,Sales!D:D))</f>
        <v/>
      </c>
      <c r="D30" s="2" t="str">
        <f>IF(A30="","",B30-C30)</f>
        <v/>
      </c>
    </row>
    <row r="31" spans="1:4" x14ac:dyDescent="0.2">
      <c r="A31" s="2"/>
      <c r="B31" s="2" t="str">
        <f>IF(A31="","",SUMIF(Production!B:B,A31,Production!D:D))</f>
        <v/>
      </c>
      <c r="C31" s="2" t="str">
        <f>IF(A31="","",SUMIF(Sales!B:B,A31,Sales!D:D))</f>
        <v/>
      </c>
      <c r="D31" s="2" t="str">
        <f>IF(A31="","",B31-C31)</f>
        <v/>
      </c>
    </row>
    <row r="32" spans="1:4" x14ac:dyDescent="0.2">
      <c r="A32" s="2"/>
      <c r="B32" s="2" t="str">
        <f>IF(A32="","",SUMIF(Production!B:B,A32,Production!D:D))</f>
        <v/>
      </c>
      <c r="C32" s="2" t="str">
        <f>IF(A32="","",SUMIF(Sales!B:B,A32,Sales!D:D))</f>
        <v/>
      </c>
      <c r="D32" s="2" t="str">
        <f>IF(A32="","",B32-C32)</f>
        <v/>
      </c>
    </row>
    <row r="33" spans="1:4" x14ac:dyDescent="0.2">
      <c r="A33" s="2"/>
      <c r="B33" s="2" t="str">
        <f>IF(A33="","",SUMIF(Production!B:B,A33,Production!D:D))</f>
        <v/>
      </c>
      <c r="C33" s="2" t="str">
        <f>IF(A33="","",SUMIF(Sales!B:B,A33,Sales!D:D))</f>
        <v/>
      </c>
      <c r="D33" s="2" t="str">
        <f>IF(A33="","",B33-C33)</f>
        <v/>
      </c>
    </row>
    <row r="34" spans="1:4" x14ac:dyDescent="0.2">
      <c r="A34" s="2"/>
      <c r="B34" s="2" t="str">
        <f>IF(A34="","",SUMIF(Production!B:B,A34,Production!D:D))</f>
        <v/>
      </c>
      <c r="C34" s="2" t="str">
        <f>IF(A34="","",SUMIF(Sales!B:B,A34,Sales!D:D))</f>
        <v/>
      </c>
      <c r="D34" s="2" t="str">
        <f>IF(A34="","",B34-C34)</f>
        <v/>
      </c>
    </row>
    <row r="35" spans="1:4" x14ac:dyDescent="0.2">
      <c r="A35" s="2"/>
      <c r="B35" s="2" t="str">
        <f>IF(A35="","",SUMIF(Production!B:B,A35,Production!D:D))</f>
        <v/>
      </c>
      <c r="C35" s="2" t="str">
        <f>IF(A35="","",SUMIF(Sales!B:B,A35,Sales!D:D))</f>
        <v/>
      </c>
      <c r="D35" s="2" t="str">
        <f>IF(A35="","",B35-C35)</f>
        <v/>
      </c>
    </row>
    <row r="36" spans="1:4" x14ac:dyDescent="0.2">
      <c r="A36" s="2"/>
      <c r="B36" s="2" t="str">
        <f>IF(A36="","",SUMIF(Production!B:B,A36,Production!D:D))</f>
        <v/>
      </c>
      <c r="C36" s="2" t="str">
        <f>IF(A36="","",SUMIF(Sales!B:B,A36,Sales!D:D))</f>
        <v/>
      </c>
      <c r="D36" s="2" t="str">
        <f>IF(A36="","",B36-C36)</f>
        <v/>
      </c>
    </row>
    <row r="37" spans="1:4" x14ac:dyDescent="0.2">
      <c r="A37" s="2"/>
      <c r="B37" s="2" t="str">
        <f>IF(A37="","",SUMIF(Production!B:B,A37,Production!D:D))</f>
        <v/>
      </c>
      <c r="C37" s="2" t="str">
        <f>IF(A37="","",SUMIF(Sales!B:B,A37,Sales!D:D))</f>
        <v/>
      </c>
      <c r="D37" s="2" t="str">
        <f>IF(A37="","",B37-C37)</f>
        <v/>
      </c>
    </row>
    <row r="38" spans="1:4" x14ac:dyDescent="0.2">
      <c r="A38" s="2"/>
      <c r="B38" s="2" t="str">
        <f>IF(A38="","",SUMIF(Production!B:B,A38,Production!D:D))</f>
        <v/>
      </c>
      <c r="C38" s="2" t="str">
        <f>IF(A38="","",SUMIF(Sales!B:B,A38,Sales!D:D))</f>
        <v/>
      </c>
      <c r="D38" s="2" t="str">
        <f>IF(A38="","",B38-C38)</f>
        <v/>
      </c>
    </row>
    <row r="39" spans="1:4" x14ac:dyDescent="0.2">
      <c r="A39" s="2"/>
      <c r="B39" s="2" t="str">
        <f>IF(A39="","",SUMIF(Production!B:B,A39,Production!D:D))</f>
        <v/>
      </c>
      <c r="C39" s="2" t="str">
        <f>IF(A39="","",SUMIF(Sales!B:B,A39,Sales!D:D))</f>
        <v/>
      </c>
      <c r="D39" s="2" t="str">
        <f>IF(A39="","",B39-C39)</f>
        <v/>
      </c>
    </row>
    <row r="40" spans="1:4" x14ac:dyDescent="0.2">
      <c r="A40" s="2"/>
      <c r="B40" s="2" t="str">
        <f>IF(A40="","",SUMIF(Production!B:B,A40,Production!D:D))</f>
        <v/>
      </c>
      <c r="C40" s="2" t="str">
        <f>IF(A40="","",SUMIF(Sales!B:B,A40,Sales!D:D))</f>
        <v/>
      </c>
      <c r="D40" s="2" t="str">
        <f>IF(A40="","",B40-C40)</f>
        <v/>
      </c>
    </row>
    <row r="41" spans="1:4" x14ac:dyDescent="0.2">
      <c r="A41" s="2"/>
      <c r="B41" s="2" t="str">
        <f>IF(A41="","",SUMIF(Production!B:B,A41,Production!D:D))</f>
        <v/>
      </c>
      <c r="C41" s="2" t="str">
        <f>IF(A41="","",SUMIF(Sales!B:B,A41,Sales!D:D))</f>
        <v/>
      </c>
      <c r="D41" s="2" t="str">
        <f>IF(A41="","",B41-C41)</f>
        <v/>
      </c>
    </row>
    <row r="42" spans="1:4" x14ac:dyDescent="0.2">
      <c r="A42" s="2"/>
      <c r="B42" s="2" t="str">
        <f>IF(A42="","",SUMIF(Production!B:B,A42,Production!D:D))</f>
        <v/>
      </c>
      <c r="C42" s="2" t="str">
        <f>IF(A42="","",SUMIF(Sales!B:B,A42,Sales!D:D))</f>
        <v/>
      </c>
      <c r="D42" s="2" t="str">
        <f>IF(A42="","",B42-C42)</f>
        <v/>
      </c>
    </row>
    <row r="43" spans="1:4" x14ac:dyDescent="0.2">
      <c r="A43" s="2"/>
      <c r="B43" s="2" t="str">
        <f>IF(A43="","",SUMIF(Production!B:B,A43,Production!D:D))</f>
        <v/>
      </c>
      <c r="C43" s="2" t="str">
        <f>IF(A43="","",SUMIF(Sales!B:B,A43,Sales!D:D))</f>
        <v/>
      </c>
      <c r="D43" s="2" t="str">
        <f>IF(A43="","",B43-C43)</f>
        <v/>
      </c>
    </row>
    <row r="44" spans="1:4" x14ac:dyDescent="0.2">
      <c r="A44" s="2"/>
      <c r="B44" s="2" t="str">
        <f>IF(A44="","",SUMIF(Production!B:B,A44,Production!D:D))</f>
        <v/>
      </c>
      <c r="C44" s="2" t="str">
        <f>IF(A44="","",SUMIF(Sales!B:B,A44,Sales!D:D))</f>
        <v/>
      </c>
      <c r="D44" s="2" t="str">
        <f>IF(A44="","",B44-C44)</f>
        <v/>
      </c>
    </row>
    <row r="45" spans="1:4" x14ac:dyDescent="0.2">
      <c r="A45" s="2"/>
      <c r="B45" s="2" t="str">
        <f>IF(A45="","",SUMIF(Production!B:B,A45,Production!D:D))</f>
        <v/>
      </c>
      <c r="C45" s="2" t="str">
        <f>IF(A45="","",SUMIF(Sales!B:B,A45,Sales!D:D))</f>
        <v/>
      </c>
      <c r="D45" s="2" t="str">
        <f>IF(A45="","",B45-C45)</f>
        <v/>
      </c>
    </row>
    <row r="46" spans="1:4" x14ac:dyDescent="0.2">
      <c r="A46" s="2"/>
      <c r="B46" s="2" t="str">
        <f>IF(A46="","",SUMIF(Production!B:B,A46,Production!D:D))</f>
        <v/>
      </c>
      <c r="C46" s="2" t="str">
        <f>IF(A46="","",SUMIF(Sales!B:B,A46,Sales!D:D))</f>
        <v/>
      </c>
      <c r="D46" s="2" t="str">
        <f>IF(A46="","",B46-C46)</f>
        <v/>
      </c>
    </row>
    <row r="47" spans="1:4" x14ac:dyDescent="0.2">
      <c r="A47" s="2"/>
      <c r="B47" s="2" t="str">
        <f>IF(A47="","",SUMIF(Production!B:B,A47,Production!D:D))</f>
        <v/>
      </c>
      <c r="C47" s="2" t="str">
        <f>IF(A47="","",SUMIF(Sales!B:B,A47,Sales!D:D))</f>
        <v/>
      </c>
      <c r="D47" s="2" t="str">
        <f>IF(A47="","",B47-C47)</f>
        <v/>
      </c>
    </row>
    <row r="48" spans="1:4" x14ac:dyDescent="0.2">
      <c r="A48" s="2"/>
      <c r="B48" s="2" t="str">
        <f>IF(A48="","",SUMIF(Production!B:B,A48,Production!D:D))</f>
        <v/>
      </c>
      <c r="C48" s="2" t="str">
        <f>IF(A48="","",SUMIF(Sales!B:B,A48,Sales!D:D))</f>
        <v/>
      </c>
      <c r="D48" s="2" t="str">
        <f>IF(A48="","",B48-C48)</f>
        <v/>
      </c>
    </row>
    <row r="49" spans="1:4" x14ac:dyDescent="0.2">
      <c r="A49" s="2"/>
      <c r="B49" s="2" t="str">
        <f>IF(A49="","",SUMIF(Production!B:B,A49,Production!D:D))</f>
        <v/>
      </c>
      <c r="C49" s="2" t="str">
        <f>IF(A49="","",SUMIF(Sales!B:B,A49,Sales!D:D))</f>
        <v/>
      </c>
      <c r="D49" s="2" t="str">
        <f>IF(A49="","",B49-C49)</f>
        <v/>
      </c>
    </row>
    <row r="50" spans="1:4" x14ac:dyDescent="0.2">
      <c r="A50" s="2"/>
      <c r="B50" s="2" t="str">
        <f>IF(A50="","",SUMIF(Production!B:B,A50,Production!D:D))</f>
        <v/>
      </c>
      <c r="C50" s="2" t="str">
        <f>IF(A50="","",SUMIF(Sales!B:B,A50,Sales!D:D))</f>
        <v/>
      </c>
      <c r="D50" s="2" t="str">
        <f>IF(A50="","",B50-C50)</f>
        <v/>
      </c>
    </row>
    <row r="51" spans="1:4" x14ac:dyDescent="0.2">
      <c r="A51" s="2"/>
      <c r="B51" s="2" t="str">
        <f>IF(A51="","",SUMIF(Production!B:B,A51,Production!D:D))</f>
        <v/>
      </c>
      <c r="C51" s="2" t="str">
        <f>IF(A51="","",SUMIF(Sales!B:B,A51,Sales!D:D))</f>
        <v/>
      </c>
      <c r="D51" s="2" t="str">
        <f>IF(A51="","",B51-C51)</f>
        <v/>
      </c>
    </row>
  </sheetData>
  <conditionalFormatting sqref="D2:D51">
    <cfRule type="cellIs" dxfId="2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workbookViewId="0">
      <pane ySplit="1" topLeftCell="A29" activePane="bottomLeft" state="frozen"/>
      <selection pane="bottomLeft" activeCell="H118" sqref="H118"/>
    </sheetView>
  </sheetViews>
  <sheetFormatPr defaultColWidth="9.01171875" defaultRowHeight="15" x14ac:dyDescent="0.2"/>
  <cols>
    <col min="1" max="2" width="11.97265625" style="17" customWidth="1"/>
    <col min="3" max="4" width="27.98046875" style="17" customWidth="1"/>
    <col min="5" max="5" width="23.9453125" style="17" customWidth="1"/>
    <col min="6" max="6" width="27.98046875" style="17" customWidth="1"/>
    <col min="7" max="7" width="22.05859375" style="17" customWidth="1"/>
  </cols>
  <sheetData>
    <row r="1" spans="1:7" x14ac:dyDescent="0.2">
      <c r="A1" s="1" t="s">
        <v>36</v>
      </c>
      <c r="B1" s="1" t="s">
        <v>37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x14ac:dyDescent="0.2">
      <c r="A2" s="2" t="s">
        <v>43</v>
      </c>
      <c r="B2" s="8" t="s">
        <v>44</v>
      </c>
      <c r="C2" s="2">
        <f>IF(A2="","",SUMIF('Ingredients In(Purchases)'!B:B,A2,'Ingredients In(Purchases)'!D:D))</f>
        <v>10</v>
      </c>
      <c r="D2" s="2">
        <f>IF(A2="","",SUMIF('Ingredients Used'!C:C,A2,'Ingredients Used'!E:E))</f>
        <v>15</v>
      </c>
      <c r="E2" s="2">
        <f>IF(A2="","",C2-D2)</f>
        <v>-5</v>
      </c>
      <c r="F2" s="3">
        <f>IF(A2="","",SUMIF('Ingredients In(Purchases)'!B:B,A2,'Ingredients In(Purchases)'!F:F))</f>
        <v>2000</v>
      </c>
      <c r="G2" s="3">
        <f>IFERROR(F2/C2,"")</f>
        <v>200</v>
      </c>
    </row>
    <row r="3" spans="1:7" x14ac:dyDescent="0.2">
      <c r="A3" s="2" t="s">
        <v>46</v>
      </c>
      <c r="B3" s="8" t="s">
        <v>44</v>
      </c>
      <c r="C3" s="2">
        <f>IF(A3="","",SUMIF('Ingredients In(Purchases)'!B:B,A3,'Ingredients In(Purchases)'!D:D))</f>
        <v>20</v>
      </c>
      <c r="D3" s="2">
        <f>IF(A3="","",SUMIF('Ingredients Used'!C:C,A3,'Ingredients Used'!E:E))</f>
        <v>10</v>
      </c>
      <c r="E3" s="2">
        <f>IF(A3="","",C3-D3)</f>
        <v>10</v>
      </c>
      <c r="F3" s="3">
        <f>IF(A3="","",SUMIF('Ingredients In(Purchases)'!B:B,A3,'Ingredients In(Purchases)'!F:F))</f>
        <v>3000</v>
      </c>
      <c r="G3" s="3">
        <f>IFERROR(F3/C3,"")</f>
        <v>150</v>
      </c>
    </row>
    <row r="4" spans="1:7" x14ac:dyDescent="0.2">
      <c r="A4" s="2" t="s">
        <v>47</v>
      </c>
      <c r="B4" s="8" t="s">
        <v>48</v>
      </c>
      <c r="C4" s="2">
        <f>IF(A4="","",SUMIF('Ingredients In(Purchases)'!B:B,A4,'Ingredients In(Purchases)'!D:D))</f>
        <v>20</v>
      </c>
      <c r="D4" s="2">
        <f>IF(A4="","",SUMIF('Ingredients Used'!C:C,A4,'Ingredients Used'!E:E))</f>
        <v>4</v>
      </c>
      <c r="E4" s="2">
        <f>IF(A4="","",C4-D4)</f>
        <v>16</v>
      </c>
      <c r="F4" s="3">
        <f>IF(A4="","",SUMIF('Ingredients In(Purchases)'!B:B,A4,'Ingredients In(Purchases)'!F:F))</f>
        <v>3000</v>
      </c>
      <c r="G4" s="3">
        <f>IFERROR(F4/C4,"")</f>
        <v>150</v>
      </c>
    </row>
    <row r="5" spans="1:7" x14ac:dyDescent="0.2">
      <c r="A5" s="2" t="s">
        <v>49</v>
      </c>
      <c r="B5" s="8" t="s">
        <v>50</v>
      </c>
      <c r="C5" s="2">
        <f>IF(A5="","",SUMIF('Ingredients In(Purchases)'!B:B,A5,'Ingredients In(Purchases)'!D:D))</f>
        <v>30</v>
      </c>
      <c r="D5" s="2">
        <f>IF(A5="","",SUMIF('Ingredients Used'!C:C,A5,'Ingredients Used'!E:E))</f>
        <v>35</v>
      </c>
      <c r="E5" s="2">
        <f>IF(A5="","",C5-D5)</f>
        <v>-5</v>
      </c>
      <c r="F5" s="3">
        <f>IF(A5="","",SUMIF('Ingredients In(Purchases)'!B:B,A5,'Ingredients In(Purchases)'!F:F))</f>
        <v>13500</v>
      </c>
      <c r="G5" s="3">
        <f>IFERROR(F5/C5,"")</f>
        <v>450</v>
      </c>
    </row>
    <row r="6" spans="1:7" x14ac:dyDescent="0.2">
      <c r="A6" s="2" t="s">
        <v>51</v>
      </c>
      <c r="B6" s="8" t="s">
        <v>44</v>
      </c>
      <c r="C6" s="2">
        <f>IF(A6="","",SUMIF('Ingredients In(Purchases)'!B:B,A6,'Ingredients In(Purchases)'!D:D))</f>
        <v>30</v>
      </c>
      <c r="D6" s="2">
        <f>IF(A6="","",SUMIF('Ingredients Used'!C:C,A6,'Ingredients Used'!E:E))</f>
        <v>25</v>
      </c>
      <c r="E6" s="2">
        <f>IF(A6="","",C6-D6)</f>
        <v>5</v>
      </c>
      <c r="F6" s="3">
        <f>IF(A6="","",SUMIF('Ingredients In(Purchases)'!B:B,A6,'Ingredients In(Purchases)'!F:F))</f>
        <v>6000</v>
      </c>
      <c r="G6" s="3">
        <f>IFERROR(F6/C6,"")</f>
        <v>200</v>
      </c>
    </row>
    <row r="7" spans="1:7" x14ac:dyDescent="0.2">
      <c r="A7" s="2" t="s">
        <v>52</v>
      </c>
      <c r="B7" s="8" t="s">
        <v>44</v>
      </c>
      <c r="C7" s="2">
        <f>IF(A7="","",SUMIF('Ingredients In(Purchases)'!B:B,A7,'Ingredients In(Purchases)'!D:D))</f>
        <v>50</v>
      </c>
      <c r="D7" s="2">
        <f>IF(A7="","",SUMIF('Ingredients Used'!C:C,A7,'Ingredients Used'!E:E))</f>
        <v>35</v>
      </c>
      <c r="E7" s="2">
        <f>IF(A7="","",C7-D7)</f>
        <v>15</v>
      </c>
      <c r="F7" s="3">
        <f>IF(A7="","",SUMIF('Ingredients In(Purchases)'!B:B,A7,'Ingredients In(Purchases)'!F:F))</f>
        <v>7500</v>
      </c>
      <c r="G7" s="3">
        <f>IFERROR(F7/C7,"")</f>
        <v>150</v>
      </c>
    </row>
    <row r="8" spans="1:7" x14ac:dyDescent="0.2">
      <c r="A8" s="2" t="s">
        <v>53</v>
      </c>
      <c r="B8" s="8" t="s">
        <v>44</v>
      </c>
      <c r="C8" s="2">
        <f>IF(A8="","",SUMIF('Ingredients In(Purchases)'!B:B,A8,'Ingredients In(Purchases)'!D:D))</f>
        <v>50</v>
      </c>
      <c r="D8" s="2">
        <f>IF(A8="","",SUMIF('Ingredients Used'!C:C,A8,'Ingredients Used'!E:E))</f>
        <v>25</v>
      </c>
      <c r="E8" s="2">
        <f>IF(A8="","",C8-D8)</f>
        <v>25</v>
      </c>
      <c r="F8" s="3">
        <f>IF(A8="","",SUMIF('Ingredients In(Purchases)'!B:B,A8,'Ingredients In(Purchases)'!F:F))</f>
        <v>5000</v>
      </c>
      <c r="G8" s="3">
        <f>IFERROR(F8/C8,"")</f>
        <v>100</v>
      </c>
    </row>
    <row r="9" spans="1:7" x14ac:dyDescent="0.2">
      <c r="A9" s="2" t="s">
        <v>54</v>
      </c>
      <c r="B9" s="8" t="s">
        <v>50</v>
      </c>
      <c r="C9" s="2">
        <f>IF(A9="","",SUMIF('Ingredients In(Purchases)'!B:B,A9,'Ingredients In(Purchases)'!D:D))</f>
        <v>60</v>
      </c>
      <c r="D9" s="2">
        <f>IF(A9="","",SUMIF('Ingredients Used'!C:C,A9,'Ingredients Used'!E:E))</f>
        <v>20</v>
      </c>
      <c r="E9" s="2">
        <f>IF(A9="","",C9-D9)</f>
        <v>40</v>
      </c>
      <c r="F9" s="3">
        <f>IF(A9="","",SUMIF('Ingredients In(Purchases)'!B:B,A9,'Ingredients In(Purchases)'!F:F))</f>
        <v>9000</v>
      </c>
      <c r="G9" s="3">
        <f>IFERROR(F9/C9,"")</f>
        <v>150</v>
      </c>
    </row>
    <row r="10" spans="1:7" x14ac:dyDescent="0.2">
      <c r="A10" s="2"/>
      <c r="B10" s="2"/>
      <c r="C10" s="2" t="str">
        <f>IF(A10="","",SUMIF('Ingredients In(Purchases)'!B:B,A10,'Ingredients In(Purchases)'!D:D))</f>
        <v/>
      </c>
      <c r="D10" s="2" t="str">
        <f>IF(A10="","",SUMIF('Ingredients Used'!C:C,A10,'Ingredients Used'!E:E))</f>
        <v/>
      </c>
      <c r="E10" s="2" t="str">
        <f>IF(A10="","",C10-D10)</f>
        <v/>
      </c>
      <c r="F10" s="3" t="str">
        <f>IF(A10="","",SUMIF('Ingredients In(Purchases)'!B:B,A10,'Ingredients In(Purchases)'!F:F))</f>
        <v/>
      </c>
      <c r="G10" s="3" t="str">
        <f>IFERROR(F10/C10,"")</f>
        <v/>
      </c>
    </row>
    <row r="11" spans="1:7" x14ac:dyDescent="0.2">
      <c r="A11" s="2"/>
      <c r="B11" s="2"/>
      <c r="C11" s="2" t="str">
        <f>IF(A11="","",SUMIF('Ingredients In(Purchases)'!B:B,A11,'Ingredients In(Purchases)'!D:D))</f>
        <v/>
      </c>
      <c r="D11" s="2" t="str">
        <f>IF(A11="","",SUMIF('Ingredients Used'!C:C,A11,'Ingredients Used'!E:E))</f>
        <v/>
      </c>
      <c r="E11" s="2" t="str">
        <f>IF(A11="","",C11-D11)</f>
        <v/>
      </c>
      <c r="F11" s="3" t="str">
        <f>IF(A11="","",SUMIF('Ingredients In(Purchases)'!B:B,A11,'Ingredients In(Purchases)'!F:F))</f>
        <v/>
      </c>
      <c r="G11" s="3" t="str">
        <f>IFERROR(F11/C11,"")</f>
        <v/>
      </c>
    </row>
    <row r="12" spans="1:7" x14ac:dyDescent="0.2">
      <c r="A12" s="2"/>
      <c r="B12" s="2"/>
      <c r="C12" s="2" t="str">
        <f>IF(A12="","",SUMIF('Ingredients In(Purchases)'!B:B,A12,'Ingredients In(Purchases)'!D:D))</f>
        <v/>
      </c>
      <c r="D12" s="2" t="str">
        <f>IF(A12="","",SUMIF('Ingredients Used'!C:C,A12,'Ingredients Used'!E:E))</f>
        <v/>
      </c>
      <c r="E12" s="2" t="str">
        <f>IF(A12="","",C12-D12)</f>
        <v/>
      </c>
      <c r="F12" s="3" t="str">
        <f>IF(A12="","",SUMIF('Ingredients In(Purchases)'!B:B,A12,'Ingredients In(Purchases)'!F:F))</f>
        <v/>
      </c>
      <c r="G12" s="3" t="str">
        <f>IFERROR(F12/C12,"")</f>
        <v/>
      </c>
    </row>
    <row r="13" spans="1:7" x14ac:dyDescent="0.2">
      <c r="A13" s="2"/>
      <c r="B13" s="2"/>
      <c r="C13" s="2" t="str">
        <f>IF(A13="","",SUMIF('Ingredients In(Purchases)'!B:B,A13,'Ingredients In(Purchases)'!D:D))</f>
        <v/>
      </c>
      <c r="D13" s="2" t="str">
        <f>IF(A13="","",SUMIF('Ingredients Used'!C:C,A13,'Ingredients Used'!E:E))</f>
        <v/>
      </c>
      <c r="E13" s="2" t="str">
        <f>IF(A13="","",C13-D13)</f>
        <v/>
      </c>
      <c r="F13" s="3" t="str">
        <f>IF(A13="","",SUMIF('Ingredients In(Purchases)'!B:B,A13,'Ingredients In(Purchases)'!F:F))</f>
        <v/>
      </c>
      <c r="G13" s="3" t="str">
        <f>IFERROR(F13/C13,"")</f>
        <v/>
      </c>
    </row>
    <row r="14" spans="1:7" x14ac:dyDescent="0.2">
      <c r="A14" s="2"/>
      <c r="B14" s="2"/>
      <c r="C14" s="2" t="str">
        <f>IF(A14="","",SUMIF('Ingredients In(Purchases)'!B:B,A14,'Ingredients In(Purchases)'!D:D))</f>
        <v/>
      </c>
      <c r="D14" s="2" t="str">
        <f>IF(A14="","",SUMIF('Ingredients Used'!C:C,A14,'Ingredients Used'!E:E))</f>
        <v/>
      </c>
      <c r="E14" s="2" t="str">
        <f>IF(A14="","",C14-D14)</f>
        <v/>
      </c>
      <c r="F14" s="3" t="str">
        <f>IF(A14="","",SUMIF('Ingredients In(Purchases)'!B:B,A14,'Ingredients In(Purchases)'!F:F))</f>
        <v/>
      </c>
      <c r="G14" s="3" t="str">
        <f>IFERROR(F14/C14,"")</f>
        <v/>
      </c>
    </row>
    <row r="15" spans="1:7" x14ac:dyDescent="0.2">
      <c r="A15" s="2"/>
      <c r="B15" s="2"/>
      <c r="C15" s="2" t="str">
        <f>IF(A15="","",SUMIF('Ingredients In(Purchases)'!B:B,A15,'Ingredients In(Purchases)'!D:D))</f>
        <v/>
      </c>
      <c r="D15" s="2" t="str">
        <f>IF(A15="","",SUMIF('Ingredients Used'!C:C,A15,'Ingredients Used'!E:E))</f>
        <v/>
      </c>
      <c r="E15" s="2" t="str">
        <f>IF(A15="","",C15-D15)</f>
        <v/>
      </c>
      <c r="F15" s="3" t="str">
        <f>IF(A15="","",SUMIF('Ingredients In(Purchases)'!B:B,A15,'Ingredients In(Purchases)'!F:F))</f>
        <v/>
      </c>
      <c r="G15" s="3" t="str">
        <f>IFERROR(F15/C15,"")</f>
        <v/>
      </c>
    </row>
    <row r="16" spans="1:7" x14ac:dyDescent="0.2">
      <c r="A16" s="2"/>
      <c r="B16" s="2"/>
      <c r="C16" s="2" t="str">
        <f>IF(A16="","",SUMIF('Ingredients In(Purchases)'!B:B,A16,'Ingredients In(Purchases)'!D:D))</f>
        <v/>
      </c>
      <c r="D16" s="2" t="str">
        <f>IF(A16="","",SUMIF('Ingredients Used'!C:C,A16,'Ingredients Used'!E:E))</f>
        <v/>
      </c>
      <c r="E16" s="2" t="str">
        <f>IF(A16="","",C16-D16)</f>
        <v/>
      </c>
      <c r="F16" s="3" t="str">
        <f>IF(A16="","",SUMIF('Ingredients In(Purchases)'!B:B,A16,'Ingredients In(Purchases)'!F:F))</f>
        <v/>
      </c>
      <c r="G16" s="3" t="str">
        <f>IFERROR(F16/C16,"")</f>
        <v/>
      </c>
    </row>
    <row r="17" spans="1:7" x14ac:dyDescent="0.2">
      <c r="A17" s="2"/>
      <c r="B17" s="2"/>
      <c r="C17" s="2" t="str">
        <f>IF(A17="","",SUMIF('Ingredients In(Purchases)'!B:B,A17,'Ingredients In(Purchases)'!D:D))</f>
        <v/>
      </c>
      <c r="D17" s="2" t="str">
        <f>IF(A17="","",SUMIF('Ingredients Used'!C:C,A17,'Ingredients Used'!E:E))</f>
        <v/>
      </c>
      <c r="E17" s="2" t="str">
        <f>IF(A17="","",C17-D17)</f>
        <v/>
      </c>
      <c r="F17" s="3" t="str">
        <f>IF(A17="","",SUMIF('Ingredients In(Purchases)'!B:B,A17,'Ingredients In(Purchases)'!F:F))</f>
        <v/>
      </c>
      <c r="G17" s="3" t="str">
        <f>IFERROR(F17/C17,"")</f>
        <v/>
      </c>
    </row>
    <row r="18" spans="1:7" x14ac:dyDescent="0.2">
      <c r="A18" s="2"/>
      <c r="B18" s="2"/>
      <c r="C18" s="2" t="str">
        <f>IF(A18="","",SUMIF('Ingredients In(Purchases)'!B:B,A18,'Ingredients In(Purchases)'!D:D))</f>
        <v/>
      </c>
      <c r="D18" s="2" t="str">
        <f>IF(A18="","",SUMIF('Ingredients Used'!C:C,A18,'Ingredients Used'!E:E))</f>
        <v/>
      </c>
      <c r="E18" s="2" t="str">
        <f>IF(A18="","",C18-D18)</f>
        <v/>
      </c>
      <c r="F18" s="3" t="str">
        <f>IF(A18="","",SUMIF('Ingredients In(Purchases)'!B:B,A18,'Ingredients In(Purchases)'!F:F))</f>
        <v/>
      </c>
      <c r="G18" s="3" t="str">
        <f>IFERROR(F18/C18,"")</f>
        <v/>
      </c>
    </row>
    <row r="19" spans="1:7" x14ac:dyDescent="0.2">
      <c r="A19" s="2"/>
      <c r="B19" s="2"/>
      <c r="C19" s="2" t="str">
        <f>IF(A19="","",SUMIF('Ingredients In(Purchases)'!B:B,A19,'Ingredients In(Purchases)'!D:D))</f>
        <v/>
      </c>
      <c r="D19" s="2" t="str">
        <f>IF(A19="","",SUMIF('Ingredients Used'!C:C,A19,'Ingredients Used'!E:E))</f>
        <v/>
      </c>
      <c r="E19" s="2" t="str">
        <f>IF(A19="","",C19-D19)</f>
        <v/>
      </c>
      <c r="F19" s="3" t="str">
        <f>IF(A19="","",SUMIF('Ingredients In(Purchases)'!B:B,A19,'Ingredients In(Purchases)'!F:F))</f>
        <v/>
      </c>
      <c r="G19" s="3" t="str">
        <f>IFERROR(F19/C19,"")</f>
        <v/>
      </c>
    </row>
    <row r="20" spans="1:7" x14ac:dyDescent="0.2">
      <c r="A20" s="2"/>
      <c r="B20" s="2"/>
      <c r="C20" s="2" t="str">
        <f>IF(A20="","",SUMIF('Ingredients In(Purchases)'!B:B,A20,'Ingredients In(Purchases)'!D:D))</f>
        <v/>
      </c>
      <c r="D20" s="2" t="str">
        <f>IF(A20="","",SUMIF('Ingredients Used'!C:C,A20,'Ingredients Used'!E:E))</f>
        <v/>
      </c>
      <c r="E20" s="2" t="str">
        <f>IF(A20="","",C20-D20)</f>
        <v/>
      </c>
      <c r="F20" s="3" t="str">
        <f>IF(A20="","",SUMIF('Ingredients In(Purchases)'!B:B,A20,'Ingredients In(Purchases)'!F:F))</f>
        <v/>
      </c>
      <c r="G20" s="3" t="str">
        <f>IFERROR(F20/C20,"")</f>
        <v/>
      </c>
    </row>
    <row r="21" spans="1:7" x14ac:dyDescent="0.2">
      <c r="A21" s="2"/>
      <c r="B21" s="2"/>
      <c r="C21" s="2" t="str">
        <f>IF(A21="","",SUMIF('Ingredients In(Purchases)'!B:B,A21,'Ingredients In(Purchases)'!D:D))</f>
        <v/>
      </c>
      <c r="D21" s="2" t="str">
        <f>IF(A21="","",SUMIF('Ingredients Used'!C:C,A21,'Ingredients Used'!E:E))</f>
        <v/>
      </c>
      <c r="E21" s="2" t="str">
        <f>IF(A21="","",C21-D21)</f>
        <v/>
      </c>
      <c r="F21" s="3" t="str">
        <f>IF(A21="","",SUMIF('Ingredients In(Purchases)'!B:B,A21,'Ingredients In(Purchases)'!F:F))</f>
        <v/>
      </c>
      <c r="G21" s="3" t="str">
        <f>IFERROR(F21/C21,"")</f>
        <v/>
      </c>
    </row>
    <row r="22" spans="1:7" x14ac:dyDescent="0.2">
      <c r="A22" s="2"/>
      <c r="B22" s="2"/>
      <c r="C22" s="2" t="str">
        <f>IF(A22="","",SUMIF('Ingredients In(Purchases)'!B:B,A22,'Ingredients In(Purchases)'!D:D))</f>
        <v/>
      </c>
      <c r="D22" s="2" t="str">
        <f>IF(A22="","",SUMIF('Ingredients Used'!C:C,A22,'Ingredients Used'!E:E))</f>
        <v/>
      </c>
      <c r="E22" s="2" t="str">
        <f>IF(A22="","",C22-D22)</f>
        <v/>
      </c>
      <c r="F22" s="3" t="str">
        <f>IF(A22="","",SUMIF('Ingredients In(Purchases)'!B:B,A22,'Ingredients In(Purchases)'!F:F))</f>
        <v/>
      </c>
      <c r="G22" s="3" t="str">
        <f>IFERROR(F22/C22,"")</f>
        <v/>
      </c>
    </row>
    <row r="23" spans="1:7" x14ac:dyDescent="0.2">
      <c r="A23" s="2"/>
      <c r="B23" s="2"/>
      <c r="C23" s="2" t="str">
        <f>IF(A23="","",SUMIF('Ingredients In(Purchases)'!B:B,A23,'Ingredients In(Purchases)'!D:D))</f>
        <v/>
      </c>
      <c r="D23" s="2" t="str">
        <f>IF(A23="","",SUMIF('Ingredients Used'!C:C,A23,'Ingredients Used'!E:E))</f>
        <v/>
      </c>
      <c r="E23" s="2" t="str">
        <f>IF(A23="","",C23-D23)</f>
        <v/>
      </c>
      <c r="F23" s="3" t="str">
        <f>IF(A23="","",SUMIF('Ingredients In(Purchases)'!B:B,A23,'Ingredients In(Purchases)'!F:F))</f>
        <v/>
      </c>
      <c r="G23" s="3" t="str">
        <f>IFERROR(F23/C23,"")</f>
        <v/>
      </c>
    </row>
    <row r="24" spans="1:7" x14ac:dyDescent="0.2">
      <c r="A24" s="2"/>
      <c r="B24" s="2"/>
      <c r="C24" s="2" t="str">
        <f>IF(A24="","",SUMIF('Ingredients In(Purchases)'!B:B,A24,'Ingredients In(Purchases)'!D:D))</f>
        <v/>
      </c>
      <c r="D24" s="2" t="str">
        <f>IF(A24="","",SUMIF('Ingredients Used'!C:C,A24,'Ingredients Used'!E:E))</f>
        <v/>
      </c>
      <c r="E24" s="2" t="str">
        <f>IF(A24="","",C24-D24)</f>
        <v/>
      </c>
      <c r="F24" s="3" t="str">
        <f>IF(A24="","",SUMIF('Ingredients In(Purchases)'!B:B,A24,'Ingredients In(Purchases)'!F:F))</f>
        <v/>
      </c>
      <c r="G24" s="3" t="str">
        <f>IFERROR(F24/C24,"")</f>
        <v/>
      </c>
    </row>
    <row r="25" spans="1:7" x14ac:dyDescent="0.2">
      <c r="A25" s="2"/>
      <c r="B25" s="2"/>
      <c r="C25" s="2" t="str">
        <f>IF(A25="","",SUMIF('Ingredients In(Purchases)'!B:B,A25,'Ingredients In(Purchases)'!D:D))</f>
        <v/>
      </c>
      <c r="D25" s="2" t="str">
        <f>IF(A25="","",SUMIF('Ingredients Used'!C:C,A25,'Ingredients Used'!E:E))</f>
        <v/>
      </c>
      <c r="E25" s="2" t="str">
        <f>IF(A25="","",C25-D25)</f>
        <v/>
      </c>
      <c r="F25" s="3" t="str">
        <f>IF(A25="","",SUMIF('Ingredients In(Purchases)'!B:B,A25,'Ingredients In(Purchases)'!F:F))</f>
        <v/>
      </c>
      <c r="G25" s="3" t="str">
        <f>IFERROR(F25/C25,"")</f>
        <v/>
      </c>
    </row>
    <row r="26" spans="1:7" x14ac:dyDescent="0.2">
      <c r="A26" s="2"/>
      <c r="B26" s="2"/>
      <c r="C26" s="2" t="str">
        <f>IF(A26="","",SUMIF('Ingredients In(Purchases)'!B:B,A26,'Ingredients In(Purchases)'!D:D))</f>
        <v/>
      </c>
      <c r="D26" s="2" t="str">
        <f>IF(A26="","",SUMIF('Ingredients Used'!C:C,A26,'Ingredients Used'!E:E))</f>
        <v/>
      </c>
      <c r="E26" s="2" t="str">
        <f>IF(A26="","",C26-D26)</f>
        <v/>
      </c>
      <c r="F26" s="3" t="str">
        <f>IF(A26="","",SUMIF('Ingredients In(Purchases)'!B:B,A26,'Ingredients In(Purchases)'!F:F))</f>
        <v/>
      </c>
      <c r="G26" s="3" t="str">
        <f>IFERROR(F26/C26,"")</f>
        <v/>
      </c>
    </row>
    <row r="27" spans="1:7" x14ac:dyDescent="0.2">
      <c r="A27" s="2"/>
      <c r="B27" s="2"/>
      <c r="C27" s="2" t="str">
        <f>IF(A27="","",SUMIF('Ingredients In(Purchases)'!B:B,A27,'Ingredients In(Purchases)'!D:D))</f>
        <v/>
      </c>
      <c r="D27" s="2" t="str">
        <f>IF(A27="","",SUMIF('Ingredients Used'!C:C,A27,'Ingredients Used'!E:E))</f>
        <v/>
      </c>
      <c r="E27" s="2" t="str">
        <f>IF(A27="","",C27-D27)</f>
        <v/>
      </c>
      <c r="F27" s="3" t="str">
        <f>IF(A27="","",SUMIF('Ingredients In(Purchases)'!B:B,A27,'Ingredients In(Purchases)'!F:F))</f>
        <v/>
      </c>
      <c r="G27" s="3" t="str">
        <f>IFERROR(F27/C27,"")</f>
        <v/>
      </c>
    </row>
    <row r="28" spans="1:7" x14ac:dyDescent="0.2">
      <c r="A28" s="2"/>
      <c r="B28" s="2"/>
      <c r="C28" s="2" t="str">
        <f>IF(A28="","",SUMIF('Ingredients In(Purchases)'!B:B,A28,'Ingredients In(Purchases)'!D:D))</f>
        <v/>
      </c>
      <c r="D28" s="2" t="str">
        <f>IF(A28="","",SUMIF('Ingredients Used'!C:C,A28,'Ingredients Used'!E:E))</f>
        <v/>
      </c>
      <c r="E28" s="2" t="str">
        <f>IF(A28="","",C28-D28)</f>
        <v/>
      </c>
      <c r="F28" s="3" t="str">
        <f>IF(A28="","",SUMIF('Ingredients In(Purchases)'!B:B,A28,'Ingredients In(Purchases)'!F:F))</f>
        <v/>
      </c>
      <c r="G28" s="3" t="str">
        <f>IFERROR(F28/C28,"")</f>
        <v/>
      </c>
    </row>
    <row r="29" spans="1:7" x14ac:dyDescent="0.2">
      <c r="A29" s="2"/>
      <c r="B29" s="2"/>
      <c r="C29" s="2" t="str">
        <f>IF(A29="","",SUMIF('Ingredients In(Purchases)'!B:B,A29,'Ingredients In(Purchases)'!D:D))</f>
        <v/>
      </c>
      <c r="D29" s="2" t="str">
        <f>IF(A29="","",SUMIF('Ingredients Used'!C:C,A29,'Ingredients Used'!E:E))</f>
        <v/>
      </c>
      <c r="E29" s="2" t="str">
        <f>IF(A29="","",C29-D29)</f>
        <v/>
      </c>
      <c r="F29" s="3" t="str">
        <f>IF(A29="","",SUMIF('Ingredients In(Purchases)'!B:B,A29,'Ingredients In(Purchases)'!F:F))</f>
        <v/>
      </c>
      <c r="G29" s="3" t="str">
        <f>IFERROR(F29/C29,"")</f>
        <v/>
      </c>
    </row>
    <row r="30" spans="1:7" x14ac:dyDescent="0.2">
      <c r="A30" s="2"/>
      <c r="B30" s="2"/>
      <c r="C30" s="2" t="str">
        <f>IF(A30="","",SUMIF('Ingredients In(Purchases)'!B:B,A30,'Ingredients In(Purchases)'!D:D))</f>
        <v/>
      </c>
      <c r="D30" s="2" t="str">
        <f>IF(A30="","",SUMIF('Ingredients Used'!C:C,A30,'Ingredients Used'!E:E))</f>
        <v/>
      </c>
      <c r="E30" s="2" t="str">
        <f>IF(A30="","",C30-D30)</f>
        <v/>
      </c>
      <c r="F30" s="3" t="str">
        <f>IF(A30="","",SUMIF('Ingredients In(Purchases)'!B:B,A30,'Ingredients In(Purchases)'!F:F))</f>
        <v/>
      </c>
      <c r="G30" s="3" t="str">
        <f>IFERROR(F30/C30,"")</f>
        <v/>
      </c>
    </row>
    <row r="31" spans="1:7" x14ac:dyDescent="0.2">
      <c r="A31" s="2"/>
      <c r="B31" s="2"/>
      <c r="C31" s="2" t="str">
        <f>IF(A31="","",SUMIF('Ingredients In(Purchases)'!B:B,A31,'Ingredients In(Purchases)'!D:D))</f>
        <v/>
      </c>
      <c r="D31" s="2" t="str">
        <f>IF(A31="","",SUMIF('Ingredients Used'!C:C,A31,'Ingredients Used'!E:E))</f>
        <v/>
      </c>
      <c r="E31" s="2" t="str">
        <f>IF(A31="","",C31-D31)</f>
        <v/>
      </c>
      <c r="F31" s="3" t="str">
        <f>IF(A31="","",SUMIF('Ingredients In(Purchases)'!B:B,A31,'Ingredients In(Purchases)'!F:F))</f>
        <v/>
      </c>
      <c r="G31" s="3" t="str">
        <f>IFERROR(F31/C31,"")</f>
        <v/>
      </c>
    </row>
    <row r="32" spans="1:7" x14ac:dyDescent="0.2">
      <c r="A32" s="2"/>
      <c r="B32" s="2"/>
      <c r="C32" s="2" t="str">
        <f>IF(A32="","",SUMIF('Ingredients In(Purchases)'!B:B,A32,'Ingredients In(Purchases)'!D:D))</f>
        <v/>
      </c>
      <c r="D32" s="2" t="str">
        <f>IF(A32="","",SUMIF('Ingredients Used'!C:C,A32,'Ingredients Used'!E:E))</f>
        <v/>
      </c>
      <c r="E32" s="2" t="str">
        <f>IF(A32="","",C32-D32)</f>
        <v/>
      </c>
      <c r="F32" s="3" t="str">
        <f>IF(A32="","",SUMIF('Ingredients In(Purchases)'!B:B,A32,'Ingredients In(Purchases)'!F:F))</f>
        <v/>
      </c>
      <c r="G32" s="3" t="str">
        <f>IFERROR(F32/C32,"")</f>
        <v/>
      </c>
    </row>
    <row r="33" spans="1:7" x14ac:dyDescent="0.2">
      <c r="A33" s="2"/>
      <c r="B33" s="2"/>
      <c r="C33" s="2" t="str">
        <f>IF(A33="","",SUMIF('Ingredients In(Purchases)'!B:B,A33,'Ingredients In(Purchases)'!D:D))</f>
        <v/>
      </c>
      <c r="D33" s="2" t="str">
        <f>IF(A33="","",SUMIF('Ingredients Used'!C:C,A33,'Ingredients Used'!E:E))</f>
        <v/>
      </c>
      <c r="E33" s="2" t="str">
        <f>IF(A33="","",C33-D33)</f>
        <v/>
      </c>
      <c r="F33" s="3" t="str">
        <f>IF(A33="","",SUMIF('Ingredients In(Purchases)'!B:B,A33,'Ingredients In(Purchases)'!F:F))</f>
        <v/>
      </c>
      <c r="G33" s="3" t="str">
        <f>IFERROR(F33/C33,"")</f>
        <v/>
      </c>
    </row>
    <row r="34" spans="1:7" x14ac:dyDescent="0.2">
      <c r="A34" s="2"/>
      <c r="B34" s="2"/>
      <c r="C34" s="2" t="str">
        <f>IF(A34="","",SUMIF('Ingredients In(Purchases)'!B:B,A34,'Ingredients In(Purchases)'!D:D))</f>
        <v/>
      </c>
      <c r="D34" s="2" t="str">
        <f>IF(A34="","",SUMIF('Ingredients Used'!C:C,A34,'Ingredients Used'!E:E))</f>
        <v/>
      </c>
      <c r="E34" s="2" t="str">
        <f>IF(A34="","",C34-D34)</f>
        <v/>
      </c>
      <c r="F34" s="3" t="str">
        <f>IF(A34="","",SUMIF('Ingredients In(Purchases)'!B:B,A34,'Ingredients In(Purchases)'!F:F))</f>
        <v/>
      </c>
      <c r="G34" s="3" t="str">
        <f>IFERROR(F34/C34,"")</f>
        <v/>
      </c>
    </row>
    <row r="35" spans="1:7" x14ac:dyDescent="0.2">
      <c r="A35" s="2"/>
      <c r="B35" s="2"/>
      <c r="C35" s="2" t="str">
        <f>IF(A35="","",SUMIF('Ingredients In(Purchases)'!B:B,A35,'Ingredients In(Purchases)'!D:D))</f>
        <v/>
      </c>
      <c r="D35" s="2" t="str">
        <f>IF(A35="","",SUMIF('Ingredients Used'!C:C,A35,'Ingredients Used'!E:E))</f>
        <v/>
      </c>
      <c r="E35" s="2" t="str">
        <f>IF(A35="","",C35-D35)</f>
        <v/>
      </c>
      <c r="F35" s="3" t="str">
        <f>IF(A35="","",SUMIF('Ingredients In(Purchases)'!B:B,A35,'Ingredients In(Purchases)'!F:F))</f>
        <v/>
      </c>
      <c r="G35" s="3" t="str">
        <f>IFERROR(F35/C35,"")</f>
        <v/>
      </c>
    </row>
    <row r="36" spans="1:7" x14ac:dyDescent="0.2">
      <c r="A36" s="2"/>
      <c r="B36" s="2"/>
      <c r="C36" s="2" t="str">
        <f>IF(A36="","",SUMIF('Ingredients In(Purchases)'!B:B,A36,'Ingredients In(Purchases)'!D:D))</f>
        <v/>
      </c>
      <c r="D36" s="2" t="str">
        <f>IF(A36="","",SUMIF('Ingredients Used'!C:C,A36,'Ingredients Used'!E:E))</f>
        <v/>
      </c>
      <c r="E36" s="2" t="str">
        <f>IF(A36="","",C36-D36)</f>
        <v/>
      </c>
      <c r="F36" s="3" t="str">
        <f>IF(A36="","",SUMIF('Ingredients In(Purchases)'!B:B,A36,'Ingredients In(Purchases)'!F:F))</f>
        <v/>
      </c>
      <c r="G36" s="3" t="str">
        <f>IFERROR(F36/C36,"")</f>
        <v/>
      </c>
    </row>
    <row r="37" spans="1:7" x14ac:dyDescent="0.2">
      <c r="A37" s="2"/>
      <c r="B37" s="2"/>
      <c r="C37" s="2" t="str">
        <f>IF(A37="","",SUMIF('Ingredients In(Purchases)'!B:B,A37,'Ingredients In(Purchases)'!D:D))</f>
        <v/>
      </c>
      <c r="D37" s="2" t="str">
        <f>IF(A37="","",SUMIF('Ingredients Used'!C:C,A37,'Ingredients Used'!E:E))</f>
        <v/>
      </c>
      <c r="E37" s="2" t="str">
        <f>IF(A37="","",C37-D37)</f>
        <v/>
      </c>
      <c r="F37" s="3" t="str">
        <f>IF(A37="","",SUMIF('Ingredients In(Purchases)'!B:B,A37,'Ingredients In(Purchases)'!F:F))</f>
        <v/>
      </c>
      <c r="G37" s="3" t="str">
        <f>IFERROR(F37/C37,"")</f>
        <v/>
      </c>
    </row>
    <row r="38" spans="1:7" x14ac:dyDescent="0.2">
      <c r="A38" s="2"/>
      <c r="B38" s="2"/>
      <c r="C38" s="2" t="str">
        <f>IF(A38="","",SUMIF('Ingredients In(Purchases)'!B:B,A38,'Ingredients In(Purchases)'!D:D))</f>
        <v/>
      </c>
      <c r="D38" s="2" t="str">
        <f>IF(A38="","",SUMIF('Ingredients Used'!C:C,A38,'Ingredients Used'!E:E))</f>
        <v/>
      </c>
      <c r="E38" s="2" t="str">
        <f>IF(A38="","",C38-D38)</f>
        <v/>
      </c>
      <c r="F38" s="3" t="str">
        <f>IF(A38="","",SUMIF('Ingredients In(Purchases)'!B:B,A38,'Ingredients In(Purchases)'!F:F))</f>
        <v/>
      </c>
      <c r="G38" s="3" t="str">
        <f>IFERROR(F38/C38,"")</f>
        <v/>
      </c>
    </row>
    <row r="39" spans="1:7" x14ac:dyDescent="0.2">
      <c r="A39" s="2"/>
      <c r="B39" s="2"/>
      <c r="C39" s="2" t="str">
        <f>IF(A39="","",SUMIF('Ingredients In(Purchases)'!B:B,A39,'Ingredients In(Purchases)'!D:D))</f>
        <v/>
      </c>
      <c r="D39" s="2" t="str">
        <f>IF(A39="","",SUMIF('Ingredients Used'!C:C,A39,'Ingredients Used'!E:E))</f>
        <v/>
      </c>
      <c r="E39" s="2" t="str">
        <f>IF(A39="","",C39-D39)</f>
        <v/>
      </c>
      <c r="F39" s="3" t="str">
        <f>IF(A39="","",SUMIF('Ingredients In(Purchases)'!B:B,A39,'Ingredients In(Purchases)'!F:F))</f>
        <v/>
      </c>
      <c r="G39" s="3" t="str">
        <f>IFERROR(F39/C39,"")</f>
        <v/>
      </c>
    </row>
    <row r="40" spans="1:7" x14ac:dyDescent="0.2">
      <c r="A40" s="2"/>
      <c r="B40" s="2"/>
      <c r="C40" s="2" t="str">
        <f>IF(A40="","",SUMIF('Ingredients In(Purchases)'!B:B,A40,'Ingredients In(Purchases)'!D:D))</f>
        <v/>
      </c>
      <c r="D40" s="2" t="str">
        <f>IF(A40="","",SUMIF('Ingredients Used'!C:C,A40,'Ingredients Used'!E:E))</f>
        <v/>
      </c>
      <c r="E40" s="2" t="str">
        <f>IF(A40="","",C40-D40)</f>
        <v/>
      </c>
      <c r="F40" s="3" t="str">
        <f>IF(A40="","",SUMIF('Ingredients In(Purchases)'!B:B,A40,'Ingredients In(Purchases)'!F:F))</f>
        <v/>
      </c>
      <c r="G40" s="3" t="str">
        <f>IFERROR(F40/C40,"")</f>
        <v/>
      </c>
    </row>
    <row r="41" spans="1:7" x14ac:dyDescent="0.2">
      <c r="A41" s="2"/>
      <c r="B41" s="2"/>
      <c r="C41" s="2" t="str">
        <f>IF(A41="","",SUMIF('Ingredients In(Purchases)'!B:B,A41,'Ingredients In(Purchases)'!D:D))</f>
        <v/>
      </c>
      <c r="D41" s="2" t="str">
        <f>IF(A41="","",SUMIF('Ingredients Used'!C:C,A41,'Ingredients Used'!E:E))</f>
        <v/>
      </c>
      <c r="E41" s="2" t="str">
        <f>IF(A41="","",C41-D41)</f>
        <v/>
      </c>
      <c r="F41" s="3" t="str">
        <f>IF(A41="","",SUMIF('Ingredients In(Purchases)'!B:B,A41,'Ingredients In(Purchases)'!F:F))</f>
        <v/>
      </c>
      <c r="G41" s="3" t="str">
        <f>IFERROR(F41/C41,"")</f>
        <v/>
      </c>
    </row>
    <row r="42" spans="1:7" x14ac:dyDescent="0.2">
      <c r="A42" s="2"/>
      <c r="B42" s="2"/>
      <c r="C42" s="2" t="str">
        <f>IF(A42="","",SUMIF('Ingredients In(Purchases)'!B:B,A42,'Ingredients In(Purchases)'!D:D))</f>
        <v/>
      </c>
      <c r="D42" s="2" t="str">
        <f>IF(A42="","",SUMIF('Ingredients Used'!C:C,A42,'Ingredients Used'!E:E))</f>
        <v/>
      </c>
      <c r="E42" s="2" t="str">
        <f>IF(A42="","",C42-D42)</f>
        <v/>
      </c>
      <c r="F42" s="3" t="str">
        <f>IF(A42="","",SUMIF('Ingredients In(Purchases)'!B:B,A42,'Ingredients In(Purchases)'!F:F))</f>
        <v/>
      </c>
      <c r="G42" s="3" t="str">
        <f>IFERROR(F42/C42,"")</f>
        <v/>
      </c>
    </row>
    <row r="43" spans="1:7" x14ac:dyDescent="0.2">
      <c r="A43" s="2"/>
      <c r="B43" s="2"/>
      <c r="C43" s="2" t="str">
        <f>IF(A43="","",SUMIF('Ingredients In(Purchases)'!B:B,A43,'Ingredients In(Purchases)'!D:D))</f>
        <v/>
      </c>
      <c r="D43" s="2" t="str">
        <f>IF(A43="","",SUMIF('Ingredients Used'!C:C,A43,'Ingredients Used'!E:E))</f>
        <v/>
      </c>
      <c r="E43" s="2" t="str">
        <f>IF(A43="","",C43-D43)</f>
        <v/>
      </c>
      <c r="F43" s="3" t="str">
        <f>IF(A43="","",SUMIF('Ingredients In(Purchases)'!B:B,A43,'Ingredients In(Purchases)'!F:F))</f>
        <v/>
      </c>
      <c r="G43" s="3" t="str">
        <f>IFERROR(F43/C43,"")</f>
        <v/>
      </c>
    </row>
    <row r="44" spans="1:7" x14ac:dyDescent="0.2">
      <c r="A44" s="2"/>
      <c r="B44" s="2"/>
      <c r="C44" s="2" t="str">
        <f>IF(A44="","",SUMIF('Ingredients In(Purchases)'!B:B,A44,'Ingredients In(Purchases)'!D:D))</f>
        <v/>
      </c>
      <c r="D44" s="2" t="str">
        <f>IF(A44="","",SUMIF('Ingredients Used'!C:C,A44,'Ingredients Used'!E:E))</f>
        <v/>
      </c>
      <c r="E44" s="2" t="str">
        <f>IF(A44="","",C44-D44)</f>
        <v/>
      </c>
      <c r="F44" s="3" t="str">
        <f>IF(A44="","",SUMIF('Ingredients In(Purchases)'!B:B,A44,'Ingredients In(Purchases)'!F:F))</f>
        <v/>
      </c>
      <c r="G44" s="3" t="str">
        <f>IFERROR(F44/C44,"")</f>
        <v/>
      </c>
    </row>
    <row r="45" spans="1:7" x14ac:dyDescent="0.2">
      <c r="A45" s="2"/>
      <c r="B45" s="2"/>
      <c r="C45" s="2" t="str">
        <f>IF(A45="","",SUMIF('Ingredients In(Purchases)'!B:B,A45,'Ingredients In(Purchases)'!D:D))</f>
        <v/>
      </c>
      <c r="D45" s="2" t="str">
        <f>IF(A45="","",SUMIF('Ingredients Used'!C:C,A45,'Ingredients Used'!E:E))</f>
        <v/>
      </c>
      <c r="E45" s="2" t="str">
        <f>IF(A45="","",C45-D45)</f>
        <v/>
      </c>
      <c r="F45" s="3" t="str">
        <f>IF(A45="","",SUMIF('Ingredients In(Purchases)'!B:B,A45,'Ingredients In(Purchases)'!F:F))</f>
        <v/>
      </c>
      <c r="G45" s="3" t="str">
        <f>IFERROR(F45/C45,"")</f>
        <v/>
      </c>
    </row>
    <row r="46" spans="1:7" x14ac:dyDescent="0.2">
      <c r="A46" s="2"/>
      <c r="B46" s="2"/>
      <c r="C46" s="2" t="str">
        <f>IF(A46="","",SUMIF('Ingredients In(Purchases)'!B:B,A46,'Ingredients In(Purchases)'!D:D))</f>
        <v/>
      </c>
      <c r="D46" s="2" t="str">
        <f>IF(A46="","",SUMIF('Ingredients Used'!C:C,A46,'Ingredients Used'!E:E))</f>
        <v/>
      </c>
      <c r="E46" s="2" t="str">
        <f>IF(A46="","",C46-D46)</f>
        <v/>
      </c>
      <c r="F46" s="3" t="str">
        <f>IF(A46="","",SUMIF('Ingredients In(Purchases)'!B:B,A46,'Ingredients In(Purchases)'!F:F))</f>
        <v/>
      </c>
      <c r="G46" s="3" t="str">
        <f>IFERROR(F46/C46,"")</f>
        <v/>
      </c>
    </row>
    <row r="47" spans="1:7" x14ac:dyDescent="0.2">
      <c r="A47" s="2"/>
      <c r="B47" s="2"/>
      <c r="C47" s="2" t="str">
        <f>IF(A47="","",SUMIF('Ingredients In(Purchases)'!B:B,A47,'Ingredients In(Purchases)'!D:D))</f>
        <v/>
      </c>
      <c r="D47" s="2" t="str">
        <f>IF(A47="","",SUMIF('Ingredients Used'!C:C,A47,'Ingredients Used'!E:E))</f>
        <v/>
      </c>
      <c r="E47" s="2" t="str">
        <f>IF(A47="","",C47-D47)</f>
        <v/>
      </c>
      <c r="F47" s="3" t="str">
        <f>IF(A47="","",SUMIF('Ingredients In(Purchases)'!B:B,A47,'Ingredients In(Purchases)'!F:F))</f>
        <v/>
      </c>
      <c r="G47" s="3" t="str">
        <f>IFERROR(F47/C47,"")</f>
        <v/>
      </c>
    </row>
    <row r="48" spans="1:7" x14ac:dyDescent="0.2">
      <c r="A48" s="2"/>
      <c r="B48" s="2"/>
      <c r="C48" s="2" t="str">
        <f>IF(A48="","",SUMIF('Ingredients In(Purchases)'!B:B,A48,'Ingredients In(Purchases)'!D:D))</f>
        <v/>
      </c>
      <c r="D48" s="2" t="str">
        <f>IF(A48="","",SUMIF('Ingredients Used'!C:C,A48,'Ingredients Used'!E:E))</f>
        <v/>
      </c>
      <c r="E48" s="2" t="str">
        <f>IF(A48="","",C48-D48)</f>
        <v/>
      </c>
      <c r="F48" s="3" t="str">
        <f>IF(A48="","",SUMIF('Ingredients In(Purchases)'!B:B,A48,'Ingredients In(Purchases)'!F:F))</f>
        <v/>
      </c>
      <c r="G48" s="3" t="str">
        <f>IFERROR(F48/C48,"")</f>
        <v/>
      </c>
    </row>
    <row r="49" spans="1:7" x14ac:dyDescent="0.2">
      <c r="A49" s="2"/>
      <c r="B49" s="2"/>
      <c r="C49" s="2" t="str">
        <f>IF(A49="","",SUMIF('Ingredients In(Purchases)'!B:B,A49,'Ingredients In(Purchases)'!D:D))</f>
        <v/>
      </c>
      <c r="D49" s="2" t="str">
        <f>IF(A49="","",SUMIF('Ingredients Used'!C:C,A49,'Ingredients Used'!E:E))</f>
        <v/>
      </c>
      <c r="E49" s="2" t="str">
        <f>IF(A49="","",C49-D49)</f>
        <v/>
      </c>
      <c r="F49" s="3" t="str">
        <f>IF(A49="","",SUMIF('Ingredients In(Purchases)'!B:B,A49,'Ingredients In(Purchases)'!F:F))</f>
        <v/>
      </c>
      <c r="G49" s="3" t="str">
        <f>IFERROR(F49/C49,"")</f>
        <v/>
      </c>
    </row>
    <row r="50" spans="1:7" x14ac:dyDescent="0.2">
      <c r="A50" s="2"/>
      <c r="B50" s="2"/>
      <c r="C50" s="2" t="str">
        <f>IF(A50="","",SUMIF('Ingredients In(Purchases)'!B:B,A50,'Ingredients In(Purchases)'!D:D))</f>
        <v/>
      </c>
      <c r="D50" s="2" t="str">
        <f>IF(A50="","",SUMIF('Ingredients Used'!C:C,A50,'Ingredients Used'!E:E))</f>
        <v/>
      </c>
      <c r="E50" s="2" t="str">
        <f>IF(A50="","",C50-D50)</f>
        <v/>
      </c>
      <c r="F50" s="3" t="str">
        <f>IF(A50="","",SUMIF('Ingredients In(Purchases)'!B:B,A50,'Ingredients In(Purchases)'!F:F))</f>
        <v/>
      </c>
      <c r="G50" s="3" t="str">
        <f>IFERROR(F50/C50,"")</f>
        <v/>
      </c>
    </row>
    <row r="51" spans="1:7" x14ac:dyDescent="0.2">
      <c r="A51" s="2"/>
      <c r="B51" s="2"/>
      <c r="C51" s="2" t="str">
        <f>IF(A51="","",SUMIF('Ingredients In(Purchases)'!B:B,A51,'Ingredients In(Purchases)'!D:D))</f>
        <v/>
      </c>
      <c r="D51" s="2" t="str">
        <f>IF(A51="","",SUMIF('Ingredients Used'!C:C,A51,'Ingredients Used'!E:E))</f>
        <v/>
      </c>
      <c r="E51" s="2" t="str">
        <f>IF(A51="","",C51-D51)</f>
        <v/>
      </c>
      <c r="F51" s="3" t="str">
        <f>IF(A51="","",SUMIF('Ingredients In(Purchases)'!B:B,A51,'Ingredients In(Purchases)'!F:F))</f>
        <v/>
      </c>
      <c r="G51" s="3" t="str">
        <f>IFERROR(F51/C51,"")</f>
        <v/>
      </c>
    </row>
  </sheetData>
  <conditionalFormatting sqref="E2:E51">
    <cfRule type="cellIs" dxfId="1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1"/>
  <sheetViews>
    <sheetView workbookViewId="0">
      <pane ySplit="1" topLeftCell="A2" activePane="bottomLeft" state="frozen"/>
      <selection pane="bottomLeft" activeCell="G2" sqref="G2"/>
    </sheetView>
  </sheetViews>
  <sheetFormatPr defaultColWidth="9.01171875" defaultRowHeight="15" x14ac:dyDescent="0.2"/>
  <cols>
    <col min="1" max="3" width="11.97265625" style="17" customWidth="1"/>
    <col min="4" max="4" width="16.0078125" style="17" customWidth="1"/>
    <col min="5" max="5" width="18.0234375" style="17" customWidth="1"/>
    <col min="6" max="6" width="23.9453125" style="17" customWidth="1"/>
    <col min="7" max="7" width="11.97265625" style="17" customWidth="1"/>
  </cols>
  <sheetData>
    <row r="1" spans="1:20" x14ac:dyDescent="0.2">
      <c r="A1" s="1" t="s">
        <v>35</v>
      </c>
      <c r="B1" s="1" t="s">
        <v>65</v>
      </c>
      <c r="C1" s="1" t="s">
        <v>62</v>
      </c>
      <c r="D1" s="1" t="s">
        <v>82</v>
      </c>
      <c r="E1" s="1" t="s">
        <v>66</v>
      </c>
      <c r="F1" s="1" t="s">
        <v>83</v>
      </c>
      <c r="G1" s="1" t="s">
        <v>84</v>
      </c>
      <c r="I1" s="10"/>
      <c r="J1" s="11"/>
      <c r="K1" s="11"/>
      <c r="L1" s="11"/>
      <c r="M1" s="11"/>
      <c r="N1" s="11" t="str">
        <f>IF(OR(L1="",M1=""),"",L1/M1)</f>
        <v/>
      </c>
      <c r="O1" s="11" t="str">
        <f>IF(L1="","",L1/8)</f>
        <v/>
      </c>
      <c r="P1" s="9" t="str">
        <f>IF(J1="","",8)</f>
        <v/>
      </c>
      <c r="Q1" s="9" t="str">
        <f>IF(OR(L1="",P1=0),"",L1/P1)</f>
        <v/>
      </c>
      <c r="R1" s="9" t="str">
        <f>IF(L1="","",L1-P1)</f>
        <v/>
      </c>
      <c r="S1" s="9" t="str">
        <f>IF(I1="","",TEXT(I1,"mmm-yyyy"))</f>
        <v/>
      </c>
      <c r="T1" s="9"/>
    </row>
    <row r="2" spans="1:20" x14ac:dyDescent="0.2">
      <c r="A2" s="2"/>
      <c r="B2" s="2" t="s">
        <v>85</v>
      </c>
      <c r="C2" s="2" t="s">
        <v>60</v>
      </c>
      <c r="D2" s="2">
        <v>800</v>
      </c>
      <c r="E2" s="2">
        <v>2</v>
      </c>
      <c r="F2" s="2">
        <f>IF(OR(D2="",E2=""),"",D2/E2)</f>
        <v>400</v>
      </c>
      <c r="G2" s="2">
        <f>IF(D2="","",D2/8)</f>
        <v>100</v>
      </c>
      <c r="I2" s="10"/>
      <c r="J2" s="11"/>
      <c r="K2" s="11"/>
      <c r="L2" s="11"/>
      <c r="M2" s="11"/>
      <c r="N2" s="11" t="str">
        <f>IF(OR(L2="",M2=""),"",L2/M2)</f>
        <v/>
      </c>
      <c r="O2" s="11" t="str">
        <f>IF(L2="","",L2/8)</f>
        <v/>
      </c>
      <c r="P2" s="9" t="str">
        <f>IF(J2="","",8)</f>
        <v/>
      </c>
      <c r="Q2" s="9" t="str">
        <f>IF(OR(L2="",P2=0),"",L2/P2)</f>
        <v/>
      </c>
      <c r="R2" s="9" t="str">
        <f>IF(L2="","",L2-P2)</f>
        <v/>
      </c>
      <c r="S2" s="9" t="str">
        <f>IF(I2="","",TEXT(I2,"mmm-yyyy"))</f>
        <v/>
      </c>
      <c r="T2" s="9"/>
    </row>
    <row r="3" spans="1:20" x14ac:dyDescent="0.2">
      <c r="A3" s="2"/>
      <c r="B3" s="2"/>
      <c r="C3" s="2"/>
      <c r="D3" s="2"/>
      <c r="E3" s="2"/>
      <c r="F3" s="2" t="str">
        <f>IF(OR(D3="",E3=""),"",D3/E3)</f>
        <v/>
      </c>
      <c r="G3" s="2" t="str">
        <f>IF(D3="","",D3/8)</f>
        <v/>
      </c>
      <c r="I3" s="10"/>
      <c r="J3" s="11"/>
      <c r="K3" s="11"/>
      <c r="L3" s="11"/>
      <c r="M3" s="11"/>
      <c r="N3" s="11" t="str">
        <f>IF(OR(L3="",M3=""),"",L3/M3)</f>
        <v/>
      </c>
      <c r="O3" s="11" t="str">
        <f>IF(L3="","",L3/8)</f>
        <v/>
      </c>
      <c r="P3" s="9" t="str">
        <f>IF(J3="","",8)</f>
        <v/>
      </c>
      <c r="Q3" s="9" t="str">
        <f>IF(OR(L3="",P3=0),"",L3/P3)</f>
        <v/>
      </c>
      <c r="R3" s="9" t="str">
        <f>IF(L3="","",L3-P3)</f>
        <v/>
      </c>
      <c r="S3" s="9" t="str">
        <f>IF(I3="","",TEXT(I3,"mmm-yyyy"))</f>
        <v/>
      </c>
      <c r="T3" s="9"/>
    </row>
    <row r="4" spans="1:20" x14ac:dyDescent="0.2">
      <c r="A4" s="2"/>
      <c r="B4" s="2"/>
      <c r="C4" s="2"/>
      <c r="D4" s="2"/>
      <c r="E4" s="2"/>
      <c r="F4" s="2" t="str">
        <f>IF(OR(D4="",E4=""),"",D4/E4)</f>
        <v/>
      </c>
      <c r="G4" s="2" t="str">
        <f>IF(D4="","",D4/8)</f>
        <v/>
      </c>
      <c r="I4" s="10"/>
      <c r="J4" s="11"/>
      <c r="K4" s="11"/>
      <c r="L4" s="11"/>
      <c r="M4" s="11"/>
      <c r="N4" s="11" t="str">
        <f>IF(OR(L4="",M4=""),"",L4/M4)</f>
        <v/>
      </c>
      <c r="O4" s="11" t="str">
        <f>IF(L4="","",L4/8)</f>
        <v/>
      </c>
      <c r="P4" s="9" t="str">
        <f>IF(J4="","",8)</f>
        <v/>
      </c>
      <c r="Q4" s="9" t="str">
        <f>IF(OR(L4="",P4=0),"",L4/P4)</f>
        <v/>
      </c>
      <c r="R4" s="9" t="str">
        <f>IF(L4="","",L4-P4)</f>
        <v/>
      </c>
      <c r="S4" s="9" t="str">
        <f>IF(I4="","",TEXT(I4,"mmm-yyyy"))</f>
        <v/>
      </c>
      <c r="T4" s="9"/>
    </row>
    <row r="5" spans="1:20" x14ac:dyDescent="0.2">
      <c r="A5" s="2"/>
      <c r="B5" s="2"/>
      <c r="C5" s="2"/>
      <c r="D5" s="2"/>
      <c r="E5" s="2"/>
      <c r="F5" s="2" t="str">
        <f>IF(OR(D5="",E5=""),"",D5/E5)</f>
        <v/>
      </c>
      <c r="G5" s="2" t="str">
        <f>IF(D5="","",D5/8)</f>
        <v/>
      </c>
      <c r="I5" s="10"/>
      <c r="J5" s="11"/>
      <c r="K5" s="11"/>
      <c r="L5" s="11"/>
      <c r="M5" s="11"/>
      <c r="N5" s="11" t="str">
        <f>IF(OR(L5="",M5=""),"",L5/M5)</f>
        <v/>
      </c>
      <c r="O5" s="11" t="str">
        <f>IF(L5="","",L5/8)</f>
        <v/>
      </c>
      <c r="P5" s="9" t="str">
        <f>IF(J5="","",8)</f>
        <v/>
      </c>
      <c r="Q5" s="9" t="str">
        <f>IF(OR(L5="",P5=0),"",L5/P5)</f>
        <v/>
      </c>
      <c r="R5" s="9" t="str">
        <f>IF(L5="","",L5-P5)</f>
        <v/>
      </c>
      <c r="S5" s="9" t="str">
        <f>IF(I5="","",TEXT(I5,"mmm-yyyy"))</f>
        <v/>
      </c>
      <c r="T5" s="9"/>
    </row>
    <row r="6" spans="1:20" x14ac:dyDescent="0.2">
      <c r="A6" s="2"/>
      <c r="B6" s="2"/>
      <c r="C6" s="2"/>
      <c r="D6" s="2"/>
      <c r="E6" s="2"/>
      <c r="F6" s="2" t="str">
        <f>IF(OR(D6="",E6=""),"",D6/E6)</f>
        <v/>
      </c>
      <c r="G6" s="2" t="str">
        <f>IF(D6="","",D6/8)</f>
        <v/>
      </c>
      <c r="I6" s="10"/>
      <c r="J6" s="11"/>
      <c r="K6" s="11"/>
      <c r="L6" s="11"/>
      <c r="M6" s="11"/>
      <c r="N6" s="11" t="str">
        <f>IF(OR(L6="",M6=""),"",L6/M6)</f>
        <v/>
      </c>
      <c r="O6" s="11" t="str">
        <f>IF(L6="","",L6/8)</f>
        <v/>
      </c>
      <c r="P6" s="9" t="str">
        <f>IF(J6="","",8)</f>
        <v/>
      </c>
      <c r="Q6" s="9" t="str">
        <f>IF(OR(L6="",P6=0),"",L6/P6)</f>
        <v/>
      </c>
      <c r="R6" s="9" t="str">
        <f>IF(L6="","",L6-P6)</f>
        <v/>
      </c>
      <c r="S6" s="9" t="str">
        <f>IF(I6="","",TEXT(I6,"mmm-yyyy"))</f>
        <v/>
      </c>
      <c r="T6" s="9"/>
    </row>
    <row r="7" spans="1:20" x14ac:dyDescent="0.2">
      <c r="A7" s="2"/>
      <c r="B7" s="2"/>
      <c r="C7" s="2"/>
      <c r="D7" s="2"/>
      <c r="E7" s="2"/>
      <c r="F7" s="2" t="str">
        <f>IF(OR(D7="",E7=""),"",D7/E7)</f>
        <v/>
      </c>
      <c r="G7" s="2" t="str">
        <f>IF(D7="","",D7/8)</f>
        <v/>
      </c>
      <c r="I7" s="10"/>
      <c r="J7" s="11"/>
      <c r="K7" s="11"/>
      <c r="L7" s="11"/>
      <c r="M7" s="11"/>
      <c r="N7" s="11" t="str">
        <f>IF(OR(L7="",M7=""),"",L7/M7)</f>
        <v/>
      </c>
      <c r="O7" s="11" t="str">
        <f>IF(L7="","",L7/8)</f>
        <v/>
      </c>
      <c r="P7" s="9" t="str">
        <f>IF(J7="","",8)</f>
        <v/>
      </c>
      <c r="Q7" s="9" t="str">
        <f>IF(OR(L7="",P7=0),"",L7/P7)</f>
        <v/>
      </c>
      <c r="R7" s="9" t="str">
        <f>IF(L7="","",L7-P7)</f>
        <v/>
      </c>
      <c r="S7" s="9" t="str">
        <f>IF(I7="","",TEXT(I7,"mmm-yyyy"))</f>
        <v/>
      </c>
      <c r="T7" s="9"/>
    </row>
    <row r="8" spans="1:20" x14ac:dyDescent="0.2">
      <c r="A8" s="2"/>
      <c r="B8" s="2"/>
      <c r="C8" s="2"/>
      <c r="D8" s="2"/>
      <c r="E8" s="2"/>
      <c r="F8" s="2" t="str">
        <f>IF(OR(D8="",E8=""),"",D8/E8)</f>
        <v/>
      </c>
      <c r="G8" s="2" t="str">
        <f>IF(D8="","",D8/8)</f>
        <v/>
      </c>
      <c r="I8" s="10"/>
      <c r="J8" s="11"/>
      <c r="K8" s="11"/>
      <c r="L8" s="11"/>
      <c r="M8" s="11"/>
      <c r="N8" s="11" t="str">
        <f>IF(OR(L8="",M8=""),"",L8/M8)</f>
        <v/>
      </c>
      <c r="O8" s="11" t="str">
        <f>IF(L8="","",L8/8)</f>
        <v/>
      </c>
      <c r="P8" s="9" t="str">
        <f>IF(J8="","",8)</f>
        <v/>
      </c>
      <c r="Q8" s="9" t="str">
        <f>IF(OR(L8="",P8=0),"",L8/P8)</f>
        <v/>
      </c>
      <c r="R8" s="9" t="str">
        <f>IF(L8="","",L8-P8)</f>
        <v/>
      </c>
      <c r="S8" s="9" t="str">
        <f>IF(I8="","",TEXT(I8,"mmm-yyyy"))</f>
        <v/>
      </c>
      <c r="T8" s="9"/>
    </row>
    <row r="9" spans="1:20" x14ac:dyDescent="0.2">
      <c r="A9" s="2"/>
      <c r="B9" s="2"/>
      <c r="C9" s="2"/>
      <c r="D9" s="2"/>
      <c r="E9" s="2"/>
      <c r="F9" s="2" t="str">
        <f>IF(OR(D9="",E9=""),"",D9/E9)</f>
        <v/>
      </c>
      <c r="G9" s="2" t="str">
        <f>IF(D9="","",D9/8)</f>
        <v/>
      </c>
      <c r="I9" s="10"/>
      <c r="J9" s="11"/>
      <c r="K9" s="11"/>
      <c r="L9" s="11"/>
      <c r="M9" s="11"/>
      <c r="N9" s="11" t="str">
        <f>IF(OR(L9="",M9=""),"",L9/M9)</f>
        <v/>
      </c>
      <c r="O9" s="11" t="str">
        <f>IF(L9="","",L9/8)</f>
        <v/>
      </c>
      <c r="P9" s="9" t="str">
        <f>IF(J9="","",8)</f>
        <v/>
      </c>
      <c r="Q9" s="9" t="str">
        <f>IF(OR(L9="",P9=0),"",L9/P9)</f>
        <v/>
      </c>
      <c r="R9" s="9" t="str">
        <f>IF(L9="","",L9-P9)</f>
        <v/>
      </c>
      <c r="S9" s="9" t="str">
        <f>IF(I9="","",TEXT(I9,"mmm-yyyy"))</f>
        <v/>
      </c>
      <c r="T9" s="9"/>
    </row>
    <row r="10" spans="1:20" x14ac:dyDescent="0.2">
      <c r="A10" s="2"/>
      <c r="B10" s="2"/>
      <c r="C10" s="2"/>
      <c r="D10" s="2"/>
      <c r="E10" s="2"/>
      <c r="F10" s="2" t="str">
        <f>IF(OR(D10="",E10=""),"",D10/E10)</f>
        <v/>
      </c>
      <c r="G10" s="2" t="str">
        <f>IF(D10="","",D10/8)</f>
        <v/>
      </c>
      <c r="I10" s="10"/>
      <c r="J10" s="11"/>
      <c r="K10" s="11"/>
      <c r="L10" s="11"/>
      <c r="M10" s="11"/>
      <c r="N10" s="11" t="str">
        <f>IF(OR(L10="",M10=""),"",L10/M10)</f>
        <v/>
      </c>
      <c r="O10" s="11" t="str">
        <f>IF(L10="","",L10/8)</f>
        <v/>
      </c>
      <c r="P10" s="9" t="str">
        <f>IF(J10="","",8)</f>
        <v/>
      </c>
      <c r="Q10" s="9" t="str">
        <f>IF(OR(L10="",P10=0),"",L10/P10)</f>
        <v/>
      </c>
      <c r="R10" s="9" t="str">
        <f>IF(L10="","",L10-P10)</f>
        <v/>
      </c>
      <c r="S10" s="9" t="str">
        <f>IF(I10="","",TEXT(I10,"mmm-yyyy"))</f>
        <v/>
      </c>
      <c r="T10" s="9"/>
    </row>
    <row r="11" spans="1:20" x14ac:dyDescent="0.2">
      <c r="A11" s="2"/>
      <c r="B11" s="2"/>
      <c r="C11" s="2"/>
      <c r="D11" s="2"/>
      <c r="E11" s="2"/>
      <c r="F11" s="2" t="str">
        <f>IF(OR(D11="",E11=""),"",D11/E11)</f>
        <v/>
      </c>
      <c r="G11" s="2" t="str">
        <f>IF(D11="","",D11/8)</f>
        <v/>
      </c>
      <c r="I11" s="10"/>
      <c r="J11" s="11"/>
      <c r="K11" s="11"/>
      <c r="L11" s="11"/>
      <c r="M11" s="11"/>
      <c r="N11" s="11" t="str">
        <f>IF(OR(L11="",M11=""),"",L11/M11)</f>
        <v/>
      </c>
      <c r="O11" s="11" t="str">
        <f>IF(L11="","",L11/8)</f>
        <v/>
      </c>
      <c r="P11" s="9" t="str">
        <f>IF(J11="","",8)</f>
        <v/>
      </c>
      <c r="Q11" s="9" t="str">
        <f>IF(OR(L11="",P11=0),"",L11/P11)</f>
        <v/>
      </c>
      <c r="R11" s="9" t="str">
        <f>IF(L11="","",L11-P11)</f>
        <v/>
      </c>
      <c r="S11" s="9" t="str">
        <f>IF(I11="","",TEXT(I11,"mmm-yyyy"))</f>
        <v/>
      </c>
      <c r="T11" s="9"/>
    </row>
    <row r="12" spans="1:20" x14ac:dyDescent="0.2">
      <c r="A12" s="2"/>
      <c r="B12" s="2"/>
      <c r="C12" s="2"/>
      <c r="D12" s="2"/>
      <c r="E12" s="2"/>
      <c r="F12" s="2" t="str">
        <f>IF(OR(D12="",E12=""),"",D12/E12)</f>
        <v/>
      </c>
      <c r="G12" s="2" t="str">
        <f>IF(D12="","",D12/8)</f>
        <v/>
      </c>
      <c r="I12" s="10"/>
      <c r="J12" s="11"/>
      <c r="K12" s="11"/>
      <c r="L12" s="11"/>
      <c r="M12" s="11"/>
      <c r="N12" s="11" t="str">
        <f>IF(OR(L12="",M12=""),"",L12/M12)</f>
        <v/>
      </c>
      <c r="O12" s="11" t="str">
        <f>IF(L12="","",L12/8)</f>
        <v/>
      </c>
      <c r="P12" s="9" t="str">
        <f>IF(J12="","",8)</f>
        <v/>
      </c>
      <c r="Q12" s="9" t="str">
        <f>IF(OR(L12="",P12=0),"",L12/P12)</f>
        <v/>
      </c>
      <c r="R12" s="9" t="str">
        <f>IF(L12="","",L12-P12)</f>
        <v/>
      </c>
      <c r="S12" s="9" t="str">
        <f>IF(I12="","",TEXT(I12,"mmm-yyyy"))</f>
        <v/>
      </c>
      <c r="T12" s="9"/>
    </row>
    <row r="13" spans="1:20" x14ac:dyDescent="0.2">
      <c r="A13" s="2"/>
      <c r="B13" s="2"/>
      <c r="C13" s="2"/>
      <c r="D13" s="2"/>
      <c r="E13" s="2"/>
      <c r="F13" s="2" t="str">
        <f>IF(OR(D13="",E13=""),"",D13/E13)</f>
        <v/>
      </c>
      <c r="G13" s="2" t="str">
        <f>IF(D13="","",D13/8)</f>
        <v/>
      </c>
      <c r="I13" s="10"/>
      <c r="J13" s="11"/>
      <c r="K13" s="11"/>
      <c r="L13" s="11"/>
      <c r="M13" s="11"/>
      <c r="N13" s="11" t="str">
        <f>IF(OR(L13="",M13=""),"",L13/M13)</f>
        <v/>
      </c>
      <c r="O13" s="11" t="str">
        <f>IF(L13="","",L13/8)</f>
        <v/>
      </c>
      <c r="P13" s="9" t="str">
        <f>IF(J13="","",8)</f>
        <v/>
      </c>
      <c r="Q13" s="9" t="str">
        <f>IF(OR(L13="",P13=0),"",L13/P13)</f>
        <v/>
      </c>
      <c r="R13" s="9" t="str">
        <f>IF(L13="","",L13-P13)</f>
        <v/>
      </c>
      <c r="S13" s="9" t="str">
        <f>IF(I13="","",TEXT(I13,"mmm-yyyy"))</f>
        <v/>
      </c>
      <c r="T13" s="9"/>
    </row>
    <row r="14" spans="1:20" x14ac:dyDescent="0.2">
      <c r="A14" s="2"/>
      <c r="B14" s="2"/>
      <c r="C14" s="2"/>
      <c r="D14" s="2"/>
      <c r="E14" s="2"/>
      <c r="F14" s="2" t="str">
        <f>IF(OR(D14="",E14=""),"",D14/E14)</f>
        <v/>
      </c>
      <c r="G14" s="2" t="str">
        <f>IF(D14="","",D14/8)</f>
        <v/>
      </c>
      <c r="I14" s="10"/>
      <c r="J14" s="11"/>
      <c r="K14" s="11"/>
      <c r="L14" s="11"/>
      <c r="M14" s="11"/>
      <c r="N14" s="11" t="str">
        <f>IF(OR(L14="",M14=""),"",L14/M14)</f>
        <v/>
      </c>
      <c r="O14" s="11" t="str">
        <f>IF(L14="","",L14/8)</f>
        <v/>
      </c>
      <c r="P14" s="9" t="str">
        <f>IF(J14="","",8)</f>
        <v/>
      </c>
      <c r="Q14" s="9" t="str">
        <f>IF(OR(L14="",P14=0),"",L14/P14)</f>
        <v/>
      </c>
      <c r="R14" s="9" t="str">
        <f>IF(L14="","",L14-P14)</f>
        <v/>
      </c>
      <c r="S14" s="9" t="str">
        <f>IF(I14="","",TEXT(I14,"mmm-yyyy"))</f>
        <v/>
      </c>
      <c r="T14" s="9"/>
    </row>
    <row r="15" spans="1:20" x14ac:dyDescent="0.2">
      <c r="A15" s="2"/>
      <c r="B15" s="2"/>
      <c r="C15" s="2"/>
      <c r="D15" s="2"/>
      <c r="E15" s="2"/>
      <c r="F15" s="2" t="str">
        <f>IF(OR(D15="",E15=""),"",D15/E15)</f>
        <v/>
      </c>
      <c r="G15" s="2" t="str">
        <f>IF(D15="","",D15/8)</f>
        <v/>
      </c>
      <c r="I15" s="10"/>
      <c r="J15" s="11"/>
      <c r="K15" s="11"/>
      <c r="L15" s="11"/>
      <c r="M15" s="11"/>
      <c r="N15" s="11" t="str">
        <f>IF(OR(L15="",M15=""),"",L15/M15)</f>
        <v/>
      </c>
      <c r="O15" s="11" t="str">
        <f>IF(L15="","",L15/8)</f>
        <v/>
      </c>
      <c r="P15" s="9" t="str">
        <f>IF(J15="","",8)</f>
        <v/>
      </c>
      <c r="Q15" s="9" t="str">
        <f>IF(OR(L15="",P15=0),"",L15/P15)</f>
        <v/>
      </c>
      <c r="R15" s="9" t="str">
        <f>IF(L15="","",L15-P15)</f>
        <v/>
      </c>
      <c r="S15" s="9" t="str">
        <f>IF(I15="","",TEXT(I15,"mmm-yyyy"))</f>
        <v/>
      </c>
      <c r="T15" s="9"/>
    </row>
    <row r="16" spans="1:20" x14ac:dyDescent="0.2">
      <c r="A16" s="2"/>
      <c r="B16" s="2"/>
      <c r="C16" s="2"/>
      <c r="D16" s="2"/>
      <c r="E16" s="2"/>
      <c r="F16" s="2" t="str">
        <f>IF(OR(D16="",E16=""),"",D16/E16)</f>
        <v/>
      </c>
      <c r="G16" s="2" t="str">
        <f>IF(D16="","",D16/8)</f>
        <v/>
      </c>
      <c r="I16" s="10"/>
      <c r="J16" s="11"/>
      <c r="K16" s="11"/>
      <c r="L16" s="11"/>
      <c r="M16" s="11"/>
      <c r="N16" s="11" t="str">
        <f>IF(OR(L16="",M16=""),"",L16/M16)</f>
        <v/>
      </c>
      <c r="O16" s="11" t="str">
        <f>IF(L16="","",L16/8)</f>
        <v/>
      </c>
      <c r="P16" s="9" t="str">
        <f>IF(J16="","",8)</f>
        <v/>
      </c>
      <c r="Q16" s="9" t="str">
        <f>IF(OR(L16="",P16=0),"",L16/P16)</f>
        <v/>
      </c>
      <c r="R16" s="9" t="str">
        <f>IF(L16="","",L16-P16)</f>
        <v/>
      </c>
      <c r="S16" s="9" t="str">
        <f>IF(I16="","",TEXT(I16,"mmm-yyyy"))</f>
        <v/>
      </c>
      <c r="T16" s="9"/>
    </row>
    <row r="17" spans="1:20" x14ac:dyDescent="0.2">
      <c r="A17" s="2"/>
      <c r="B17" s="2"/>
      <c r="C17" s="2"/>
      <c r="D17" s="2"/>
      <c r="E17" s="2"/>
      <c r="F17" s="2" t="str">
        <f>IF(OR(D17="",E17=""),"",D17/E17)</f>
        <v/>
      </c>
      <c r="G17" s="2" t="str">
        <f>IF(D17="","",D17/8)</f>
        <v/>
      </c>
      <c r="I17" s="10"/>
      <c r="J17" s="11"/>
      <c r="K17" s="11"/>
      <c r="L17" s="11"/>
      <c r="M17" s="11"/>
      <c r="N17" s="11" t="str">
        <f>IF(OR(L17="",M17=""),"",L17/M17)</f>
        <v/>
      </c>
      <c r="O17" s="11" t="str">
        <f>IF(L17="","",L17/8)</f>
        <v/>
      </c>
      <c r="P17" s="9" t="str">
        <f>IF(J17="","",8)</f>
        <v/>
      </c>
      <c r="Q17" s="9" t="str">
        <f>IF(OR(L17="",P17=0),"",L17/P17)</f>
        <v/>
      </c>
      <c r="R17" s="9" t="str">
        <f>IF(L17="","",L17-P17)</f>
        <v/>
      </c>
      <c r="S17" s="9" t="str">
        <f>IF(I17="","",TEXT(I17,"mmm-yyyy"))</f>
        <v/>
      </c>
      <c r="T17" s="9"/>
    </row>
    <row r="18" spans="1:20" x14ac:dyDescent="0.2">
      <c r="A18" s="2"/>
      <c r="B18" s="2"/>
      <c r="C18" s="2"/>
      <c r="D18" s="2"/>
      <c r="E18" s="2"/>
      <c r="F18" s="2" t="str">
        <f>IF(OR(D18="",E18=""),"",D18/E18)</f>
        <v/>
      </c>
      <c r="G18" s="2" t="str">
        <f>IF(D18="","",D18/8)</f>
        <v/>
      </c>
      <c r="I18" s="10"/>
      <c r="J18" s="11"/>
      <c r="K18" s="11"/>
      <c r="L18" s="11"/>
      <c r="M18" s="11"/>
      <c r="N18" s="11" t="str">
        <f>IF(OR(L18="",M18=""),"",L18/M18)</f>
        <v/>
      </c>
      <c r="O18" s="11" t="str">
        <f>IF(L18="","",L18/8)</f>
        <v/>
      </c>
      <c r="P18" s="9" t="str">
        <f>IF(J18="","",8)</f>
        <v/>
      </c>
      <c r="Q18" s="9" t="str">
        <f>IF(OR(L18="",P18=0),"",L18/P18)</f>
        <v/>
      </c>
      <c r="R18" s="9" t="str">
        <f>IF(L18="","",L18-P18)</f>
        <v/>
      </c>
      <c r="S18" s="9" t="str">
        <f>IF(I18="","",TEXT(I18,"mmm-yyyy"))</f>
        <v/>
      </c>
      <c r="T18" s="9"/>
    </row>
    <row r="19" spans="1:20" x14ac:dyDescent="0.2">
      <c r="A19" s="2"/>
      <c r="B19" s="2"/>
      <c r="C19" s="2"/>
      <c r="D19" s="2"/>
      <c r="E19" s="2"/>
      <c r="F19" s="2" t="str">
        <f>IF(OR(D19="",E19=""),"",D19/E19)</f>
        <v/>
      </c>
      <c r="G19" s="2" t="str">
        <f>IF(D19="","",D19/8)</f>
        <v/>
      </c>
      <c r="I19" s="10"/>
      <c r="J19" s="11"/>
      <c r="K19" s="11"/>
      <c r="L19" s="11"/>
      <c r="M19" s="11"/>
      <c r="N19" s="11" t="str">
        <f>IF(OR(L19="",M19=""),"",L19/M19)</f>
        <v/>
      </c>
      <c r="O19" s="11" t="str">
        <f>IF(L19="","",L19/8)</f>
        <v/>
      </c>
      <c r="P19" s="9" t="str">
        <f>IF(J19="","",8)</f>
        <v/>
      </c>
      <c r="Q19" s="9" t="str">
        <f>IF(OR(L19="",P19=0),"",L19/P19)</f>
        <v/>
      </c>
      <c r="R19" s="9" t="str">
        <f>IF(L19="","",L19-P19)</f>
        <v/>
      </c>
      <c r="S19" s="9" t="str">
        <f>IF(I19="","",TEXT(I19,"mmm-yyyy"))</f>
        <v/>
      </c>
      <c r="T19" s="9"/>
    </row>
    <row r="20" spans="1:20" x14ac:dyDescent="0.2">
      <c r="A20" s="2"/>
      <c r="B20" s="2"/>
      <c r="C20" s="2"/>
      <c r="D20" s="2"/>
      <c r="E20" s="2"/>
      <c r="F20" s="2" t="str">
        <f>IF(OR(D20="",E20=""),"",D20/E20)</f>
        <v/>
      </c>
      <c r="G20" s="2" t="str">
        <f>IF(D20="","",D20/8)</f>
        <v/>
      </c>
      <c r="I20" s="10"/>
      <c r="J20" s="11"/>
      <c r="K20" s="11"/>
      <c r="L20" s="11"/>
      <c r="M20" s="11"/>
      <c r="N20" s="11" t="str">
        <f>IF(OR(L20="",M20=""),"",L20/M20)</f>
        <v/>
      </c>
      <c r="O20" s="11" t="str">
        <f>IF(L20="","",L20/8)</f>
        <v/>
      </c>
      <c r="P20" s="9" t="str">
        <f>IF(J20="","",8)</f>
        <v/>
      </c>
      <c r="Q20" s="9" t="str">
        <f>IF(OR(L20="",P20=0),"",L20/P20)</f>
        <v/>
      </c>
      <c r="R20" s="9" t="str">
        <f>IF(L20="","",L20-P20)</f>
        <v/>
      </c>
      <c r="S20" s="9" t="str">
        <f>IF(I20="","",TEXT(I20,"mmm-yyyy"))</f>
        <v/>
      </c>
      <c r="T20" s="9"/>
    </row>
    <row r="21" spans="1:20" x14ac:dyDescent="0.2">
      <c r="A21" s="2"/>
      <c r="B21" s="2"/>
      <c r="C21" s="2"/>
      <c r="D21" s="2"/>
      <c r="E21" s="2"/>
      <c r="F21" s="2" t="str">
        <f>IF(OR(D21="",E21=""),"",D21/E21)</f>
        <v/>
      </c>
      <c r="G21" s="2" t="str">
        <f>IF(D21="","",D21/8)</f>
        <v/>
      </c>
      <c r="I21" s="10"/>
      <c r="J21" s="11"/>
      <c r="K21" s="11"/>
      <c r="L21" s="11"/>
      <c r="M21" s="11"/>
      <c r="N21" s="11" t="str">
        <f>IF(OR(L21="",M21=""),"",L21/M21)</f>
        <v/>
      </c>
      <c r="O21" s="11" t="str">
        <f>IF(L21="","",L21/8)</f>
        <v/>
      </c>
      <c r="P21" s="9" t="str">
        <f>IF(J21="","",8)</f>
        <v/>
      </c>
      <c r="Q21" s="9" t="str">
        <f>IF(OR(L21="",P21=0),"",L21/P21)</f>
        <v/>
      </c>
      <c r="R21" s="9" t="str">
        <f>IF(L21="","",L21-P21)</f>
        <v/>
      </c>
      <c r="S21" s="9" t="str">
        <f>IF(I21="","",TEXT(I21,"mmm-yyyy"))</f>
        <v/>
      </c>
      <c r="T21" s="9"/>
    </row>
    <row r="22" spans="1:20" x14ac:dyDescent="0.2">
      <c r="A22" s="2"/>
      <c r="B22" s="2"/>
      <c r="C22" s="2"/>
      <c r="D22" s="2"/>
      <c r="E22" s="2"/>
      <c r="F22" s="2" t="str">
        <f>IF(OR(D22="",E22=""),"",D22/E22)</f>
        <v/>
      </c>
      <c r="G22" s="2" t="str">
        <f>IF(D22="","",D22/8)</f>
        <v/>
      </c>
      <c r="I22" s="10"/>
      <c r="J22" s="11"/>
      <c r="K22" s="11"/>
      <c r="L22" s="11"/>
      <c r="M22" s="11"/>
      <c r="N22" s="11" t="str">
        <f>IF(OR(L22="",M22=""),"",L22/M22)</f>
        <v/>
      </c>
      <c r="O22" s="11" t="str">
        <f>IF(L22="","",L22/8)</f>
        <v/>
      </c>
      <c r="P22" s="9" t="str">
        <f>IF(J22="","",8)</f>
        <v/>
      </c>
      <c r="Q22" s="9" t="str">
        <f>IF(OR(L22="",P22=0),"",L22/P22)</f>
        <v/>
      </c>
      <c r="R22" s="9" t="str">
        <f>IF(L22="","",L22-P22)</f>
        <v/>
      </c>
      <c r="S22" s="9" t="str">
        <f>IF(I22="","",TEXT(I22,"mmm-yyyy"))</f>
        <v/>
      </c>
      <c r="T22" s="9"/>
    </row>
    <row r="23" spans="1:20" x14ac:dyDescent="0.2">
      <c r="A23" s="2"/>
      <c r="B23" s="2"/>
      <c r="C23" s="2"/>
      <c r="D23" s="2"/>
      <c r="E23" s="2"/>
      <c r="F23" s="2" t="str">
        <f>IF(OR(D23="",E23=""),"",D23/E23)</f>
        <v/>
      </c>
      <c r="G23" s="2" t="str">
        <f>IF(D23="","",D23/8)</f>
        <v/>
      </c>
      <c r="I23" s="10"/>
      <c r="J23" s="11"/>
      <c r="K23" s="11"/>
      <c r="L23" s="11"/>
      <c r="M23" s="11"/>
      <c r="N23" s="11" t="str">
        <f>IF(OR(L23="",M23=""),"",L23/M23)</f>
        <v/>
      </c>
      <c r="O23" s="11" t="str">
        <f>IF(L23="","",L23/8)</f>
        <v/>
      </c>
      <c r="P23" s="9" t="str">
        <f>IF(J23="","",8)</f>
        <v/>
      </c>
      <c r="Q23" s="9" t="str">
        <f>IF(OR(L23="",P23=0),"",L23/P23)</f>
        <v/>
      </c>
      <c r="R23" s="9" t="str">
        <f>IF(L23="","",L23-P23)</f>
        <v/>
      </c>
      <c r="S23" s="9" t="str">
        <f>IF(I23="","",TEXT(I23,"mmm-yyyy"))</f>
        <v/>
      </c>
      <c r="T23" s="9"/>
    </row>
    <row r="24" spans="1:20" x14ac:dyDescent="0.2">
      <c r="A24" s="2"/>
      <c r="B24" s="2"/>
      <c r="C24" s="2"/>
      <c r="D24" s="2"/>
      <c r="E24" s="2"/>
      <c r="F24" s="2" t="str">
        <f>IF(OR(D24="",E24=""),"",D24/E24)</f>
        <v/>
      </c>
      <c r="G24" s="2" t="str">
        <f>IF(D24="","",D24/8)</f>
        <v/>
      </c>
      <c r="I24" s="10"/>
      <c r="J24" s="11"/>
      <c r="K24" s="11"/>
      <c r="L24" s="11"/>
      <c r="M24" s="11"/>
      <c r="N24" s="11" t="str">
        <f>IF(OR(L24="",M24=""),"",L24/M24)</f>
        <v/>
      </c>
      <c r="O24" s="11" t="str">
        <f>IF(L24="","",L24/8)</f>
        <v/>
      </c>
      <c r="P24" s="9" t="str">
        <f>IF(J24="","",8)</f>
        <v/>
      </c>
      <c r="Q24" s="9" t="str">
        <f>IF(OR(L24="",P24=0),"",L24/P24)</f>
        <v/>
      </c>
      <c r="R24" s="9" t="str">
        <f>IF(L24="","",L24-P24)</f>
        <v/>
      </c>
      <c r="S24" s="9" t="str">
        <f>IF(I24="","",TEXT(I24,"mmm-yyyy"))</f>
        <v/>
      </c>
      <c r="T24" s="9"/>
    </row>
    <row r="25" spans="1:20" x14ac:dyDescent="0.2">
      <c r="A25" s="2"/>
      <c r="B25" s="2"/>
      <c r="C25" s="2"/>
      <c r="D25" s="2"/>
      <c r="E25" s="2"/>
      <c r="F25" s="2" t="str">
        <f>IF(OR(D25="",E25=""),"",D25/E25)</f>
        <v/>
      </c>
      <c r="G25" s="2" t="str">
        <f>IF(D25="","",D25/8)</f>
        <v/>
      </c>
      <c r="I25" s="10"/>
      <c r="J25" s="11"/>
      <c r="K25" s="11"/>
      <c r="L25" s="11"/>
      <c r="M25" s="11"/>
      <c r="N25" s="11" t="str">
        <f>IF(OR(L25="",M25=""),"",L25/M25)</f>
        <v/>
      </c>
      <c r="O25" s="11" t="str">
        <f>IF(L25="","",L25/8)</f>
        <v/>
      </c>
      <c r="P25" s="9" t="str">
        <f>IF(J25="","",8)</f>
        <v/>
      </c>
      <c r="Q25" s="9" t="str">
        <f>IF(OR(L25="",P25=0),"",L25/P25)</f>
        <v/>
      </c>
      <c r="R25" s="9" t="str">
        <f>IF(L25="","",L25-P25)</f>
        <v/>
      </c>
      <c r="S25" s="9" t="str">
        <f>IF(I25="","",TEXT(I25,"mmm-yyyy"))</f>
        <v/>
      </c>
      <c r="T25" s="9"/>
    </row>
    <row r="26" spans="1:20" x14ac:dyDescent="0.2">
      <c r="A26" s="2"/>
      <c r="B26" s="2"/>
      <c r="C26" s="2"/>
      <c r="D26" s="2"/>
      <c r="E26" s="2"/>
      <c r="F26" s="2" t="str">
        <f>IF(OR(D26="",E26=""),"",D26/E26)</f>
        <v/>
      </c>
      <c r="G26" s="2" t="str">
        <f>IF(D26="","",D26/8)</f>
        <v/>
      </c>
      <c r="I26" s="10"/>
      <c r="J26" s="11"/>
      <c r="K26" s="11"/>
      <c r="L26" s="11"/>
      <c r="M26" s="11"/>
      <c r="N26" s="11" t="str">
        <f>IF(OR(L26="",M26=""),"",L26/M26)</f>
        <v/>
      </c>
      <c r="O26" s="11" t="str">
        <f>IF(L26="","",L26/8)</f>
        <v/>
      </c>
      <c r="P26" s="9" t="str">
        <f>IF(J26="","",8)</f>
        <v/>
      </c>
      <c r="Q26" s="9" t="str">
        <f>IF(OR(L26="",P26=0),"",L26/P26)</f>
        <v/>
      </c>
      <c r="R26" s="9" t="str">
        <f>IF(L26="","",L26-P26)</f>
        <v/>
      </c>
      <c r="S26" s="9" t="str">
        <f>IF(I26="","",TEXT(I26,"mmm-yyyy"))</f>
        <v/>
      </c>
      <c r="T26" s="9"/>
    </row>
    <row r="27" spans="1:20" x14ac:dyDescent="0.2">
      <c r="A27" s="2"/>
      <c r="B27" s="2"/>
      <c r="C27" s="2"/>
      <c r="D27" s="2"/>
      <c r="E27" s="2"/>
      <c r="F27" s="2" t="str">
        <f>IF(OR(D27="",E27=""),"",D27/E27)</f>
        <v/>
      </c>
      <c r="G27" s="2" t="str">
        <f>IF(D27="","",D27/8)</f>
        <v/>
      </c>
      <c r="I27" s="10"/>
      <c r="J27" s="11"/>
      <c r="K27" s="11"/>
      <c r="L27" s="11"/>
      <c r="M27" s="11"/>
      <c r="N27" s="11" t="str">
        <f>IF(OR(L27="",M27=""),"",L27/M27)</f>
        <v/>
      </c>
      <c r="O27" s="11" t="str">
        <f>IF(L27="","",L27/8)</f>
        <v/>
      </c>
      <c r="P27" s="9" t="str">
        <f>IF(J27="","",8)</f>
        <v/>
      </c>
      <c r="Q27" s="9" t="str">
        <f>IF(OR(L27="",P27=0),"",L27/P27)</f>
        <v/>
      </c>
      <c r="R27" s="9" t="str">
        <f>IF(L27="","",L27-P27)</f>
        <v/>
      </c>
      <c r="S27" s="9" t="str">
        <f>IF(I27="","",TEXT(I27,"mmm-yyyy"))</f>
        <v/>
      </c>
      <c r="T27" s="9"/>
    </row>
    <row r="28" spans="1:20" x14ac:dyDescent="0.2">
      <c r="A28" s="2"/>
      <c r="B28" s="2"/>
      <c r="C28" s="2"/>
      <c r="D28" s="2"/>
      <c r="E28" s="2"/>
      <c r="F28" s="2" t="str">
        <f>IF(OR(D28="",E28=""),"",D28/E28)</f>
        <v/>
      </c>
      <c r="G28" s="2" t="str">
        <f>IF(D28="","",D28/8)</f>
        <v/>
      </c>
      <c r="I28" s="10"/>
      <c r="J28" s="11"/>
      <c r="K28" s="11"/>
      <c r="L28" s="11"/>
      <c r="M28" s="11"/>
      <c r="N28" s="11" t="str">
        <f>IF(OR(L28="",M28=""),"",L28/M28)</f>
        <v/>
      </c>
      <c r="O28" s="11" t="str">
        <f>IF(L28="","",L28/8)</f>
        <v/>
      </c>
      <c r="P28" s="9" t="str">
        <f>IF(J28="","",8)</f>
        <v/>
      </c>
      <c r="Q28" s="9" t="str">
        <f>IF(OR(L28="",P28=0),"",L28/P28)</f>
        <v/>
      </c>
      <c r="R28" s="9" t="str">
        <f>IF(L28="","",L28-P28)</f>
        <v/>
      </c>
      <c r="S28" s="9" t="str">
        <f>IF(I28="","",TEXT(I28,"mmm-yyyy"))</f>
        <v/>
      </c>
      <c r="T28" s="9"/>
    </row>
    <row r="29" spans="1:20" x14ac:dyDescent="0.2">
      <c r="A29" s="2"/>
      <c r="B29" s="2"/>
      <c r="C29" s="2"/>
      <c r="D29" s="2"/>
      <c r="E29" s="2"/>
      <c r="F29" s="2" t="str">
        <f>IF(OR(D29="",E29=""),"",D29/E29)</f>
        <v/>
      </c>
      <c r="G29" s="2" t="str">
        <f>IF(D29="","",D29/8)</f>
        <v/>
      </c>
      <c r="I29" s="10"/>
      <c r="J29" s="11"/>
      <c r="K29" s="11"/>
      <c r="L29" s="11"/>
      <c r="M29" s="11"/>
      <c r="N29" s="11" t="str">
        <f>IF(OR(L29="",M29=""),"",L29/M29)</f>
        <v/>
      </c>
      <c r="O29" s="11" t="str">
        <f>IF(L29="","",L29/8)</f>
        <v/>
      </c>
      <c r="P29" s="9" t="str">
        <f>IF(J29="","",8)</f>
        <v/>
      </c>
      <c r="Q29" s="9" t="str">
        <f>IF(OR(L29="",P29=0),"",L29/P29)</f>
        <v/>
      </c>
      <c r="R29" s="9" t="str">
        <f>IF(L29="","",L29-P29)</f>
        <v/>
      </c>
      <c r="S29" s="9" t="str">
        <f>IF(I29="","",TEXT(I29,"mmm-yyyy"))</f>
        <v/>
      </c>
      <c r="T29" s="9"/>
    </row>
    <row r="30" spans="1:20" x14ac:dyDescent="0.2">
      <c r="A30" s="2"/>
      <c r="B30" s="2"/>
      <c r="C30" s="2"/>
      <c r="D30" s="2"/>
      <c r="E30" s="2"/>
      <c r="F30" s="2" t="str">
        <f>IF(OR(D30="",E30=""),"",D30/E30)</f>
        <v/>
      </c>
      <c r="G30" s="2" t="str">
        <f>IF(D30="","",D30/8)</f>
        <v/>
      </c>
      <c r="I30" s="10"/>
      <c r="J30" s="11"/>
      <c r="K30" s="11"/>
      <c r="L30" s="11"/>
      <c r="M30" s="11"/>
      <c r="N30" s="11" t="str">
        <f>IF(OR(L30="",M30=""),"",L30/M30)</f>
        <v/>
      </c>
      <c r="O30" s="11" t="str">
        <f>IF(L30="","",L30/8)</f>
        <v/>
      </c>
      <c r="P30" s="9" t="str">
        <f>IF(J30="","",8)</f>
        <v/>
      </c>
      <c r="Q30" s="9" t="str">
        <f>IF(OR(L30="",P30=0),"",L30/P30)</f>
        <v/>
      </c>
      <c r="R30" s="9" t="str">
        <f>IF(L30="","",L30-P30)</f>
        <v/>
      </c>
      <c r="S30" s="9" t="str">
        <f>IF(I30="","",TEXT(I30,"mmm-yyyy"))</f>
        <v/>
      </c>
      <c r="T30" s="9"/>
    </row>
    <row r="31" spans="1:20" x14ac:dyDescent="0.2">
      <c r="A31" s="2"/>
      <c r="B31" s="2"/>
      <c r="C31" s="2"/>
      <c r="D31" s="2"/>
      <c r="E31" s="2"/>
      <c r="F31" s="2" t="str">
        <f>IF(OR(D31="",E31=""),"",D31/E31)</f>
        <v/>
      </c>
      <c r="G31" s="2" t="str">
        <f>IF(D31="","",D31/8)</f>
        <v/>
      </c>
      <c r="I31" s="10"/>
      <c r="J31" s="11"/>
      <c r="K31" s="11"/>
      <c r="L31" s="11"/>
      <c r="M31" s="11"/>
      <c r="N31" s="11" t="str">
        <f>IF(OR(L31="",M31=""),"",L31/M31)</f>
        <v/>
      </c>
      <c r="O31" s="11" t="str">
        <f>IF(L31="","",L31/8)</f>
        <v/>
      </c>
      <c r="P31" s="9" t="str">
        <f>IF(J31="","",8)</f>
        <v/>
      </c>
      <c r="Q31" s="9" t="str">
        <f>IF(OR(L31="",P31=0),"",L31/P31)</f>
        <v/>
      </c>
      <c r="R31" s="9" t="str">
        <f>IF(L31="","",L31-P31)</f>
        <v/>
      </c>
      <c r="S31" s="9" t="str">
        <f>IF(I31="","",TEXT(I31,"mmm-yyyy"))</f>
        <v/>
      </c>
      <c r="T31" s="9"/>
    </row>
    <row r="32" spans="1:20" x14ac:dyDescent="0.2">
      <c r="A32" s="2"/>
      <c r="B32" s="2"/>
      <c r="C32" s="2"/>
      <c r="D32" s="2"/>
      <c r="E32" s="2"/>
      <c r="F32" s="2" t="str">
        <f>IF(OR(D32="",E32=""),"",D32/E32)</f>
        <v/>
      </c>
      <c r="G32" s="2" t="str">
        <f>IF(D32="","",D32/8)</f>
        <v/>
      </c>
      <c r="I32" s="10"/>
      <c r="J32" s="11"/>
      <c r="K32" s="11"/>
      <c r="L32" s="11"/>
      <c r="M32" s="11"/>
      <c r="N32" s="11" t="str">
        <f>IF(OR(L32="",M32=""),"",L32/M32)</f>
        <v/>
      </c>
      <c r="O32" s="11" t="str">
        <f>IF(L32="","",L32/8)</f>
        <v/>
      </c>
      <c r="P32" s="9" t="str">
        <f>IF(J32="","",8)</f>
        <v/>
      </c>
      <c r="Q32" s="9" t="str">
        <f>IF(OR(L32="",P32=0),"",L32/P32)</f>
        <v/>
      </c>
      <c r="R32" s="9" t="str">
        <f>IF(L32="","",L32-P32)</f>
        <v/>
      </c>
      <c r="S32" s="9" t="str">
        <f>IF(I32="","",TEXT(I32,"mmm-yyyy"))</f>
        <v/>
      </c>
      <c r="T32" s="9"/>
    </row>
    <row r="33" spans="1:20" x14ac:dyDescent="0.2">
      <c r="A33" s="2"/>
      <c r="B33" s="2"/>
      <c r="C33" s="2"/>
      <c r="D33" s="2"/>
      <c r="E33" s="2"/>
      <c r="F33" s="2" t="str">
        <f>IF(OR(D33="",E33=""),"",D33/E33)</f>
        <v/>
      </c>
      <c r="G33" s="2" t="str">
        <f>IF(D33="","",D33/8)</f>
        <v/>
      </c>
      <c r="I33" s="10"/>
      <c r="J33" s="11"/>
      <c r="K33" s="11"/>
      <c r="L33" s="11"/>
      <c r="M33" s="11"/>
      <c r="N33" s="11" t="str">
        <f>IF(OR(L33="",M33=""),"",L33/M33)</f>
        <v/>
      </c>
      <c r="O33" s="11" t="str">
        <f>IF(L33="","",L33/8)</f>
        <v/>
      </c>
      <c r="P33" s="9" t="str">
        <f>IF(J33="","",8)</f>
        <v/>
      </c>
      <c r="Q33" s="9" t="str">
        <f>IF(OR(L33="",P33=0),"",L33/P33)</f>
        <v/>
      </c>
      <c r="R33" s="9" t="str">
        <f>IF(L33="","",L33-P33)</f>
        <v/>
      </c>
      <c r="S33" s="9" t="str">
        <f>IF(I33="","",TEXT(I33,"mmm-yyyy"))</f>
        <v/>
      </c>
      <c r="T33" s="9"/>
    </row>
    <row r="34" spans="1:20" x14ac:dyDescent="0.2">
      <c r="A34" s="2"/>
      <c r="B34" s="2"/>
      <c r="C34" s="2"/>
      <c r="D34" s="2"/>
      <c r="E34" s="2"/>
      <c r="F34" s="2" t="str">
        <f>IF(OR(D34="",E34=""),"",D34/E34)</f>
        <v/>
      </c>
      <c r="G34" s="2" t="str">
        <f>IF(D34="","",D34/8)</f>
        <v/>
      </c>
      <c r="I34" s="10"/>
      <c r="J34" s="11"/>
      <c r="K34" s="11"/>
      <c r="L34" s="11"/>
      <c r="M34" s="11"/>
      <c r="N34" s="11" t="str">
        <f>IF(OR(L34="",M34=""),"",L34/M34)</f>
        <v/>
      </c>
      <c r="O34" s="11" t="str">
        <f>IF(L34="","",L34/8)</f>
        <v/>
      </c>
      <c r="P34" s="9" t="str">
        <f>IF(J34="","",8)</f>
        <v/>
      </c>
      <c r="Q34" s="9" t="str">
        <f>IF(OR(L34="",P34=0),"",L34/P34)</f>
        <v/>
      </c>
      <c r="R34" s="9" t="str">
        <f>IF(L34="","",L34-P34)</f>
        <v/>
      </c>
      <c r="S34" s="9" t="str">
        <f>IF(I34="","",TEXT(I34,"mmm-yyyy"))</f>
        <v/>
      </c>
      <c r="T34" s="9"/>
    </row>
    <row r="35" spans="1:20" x14ac:dyDescent="0.2">
      <c r="A35" s="2"/>
      <c r="B35" s="2"/>
      <c r="C35" s="2"/>
      <c r="D35" s="2"/>
      <c r="E35" s="2"/>
      <c r="F35" s="2" t="str">
        <f>IF(OR(D35="",E35=""),"",D35/E35)</f>
        <v/>
      </c>
      <c r="G35" s="2" t="str">
        <f>IF(D35="","",D35/8)</f>
        <v/>
      </c>
      <c r="I35" s="10"/>
      <c r="J35" s="11"/>
      <c r="K35" s="11"/>
      <c r="L35" s="11"/>
      <c r="M35" s="11"/>
      <c r="N35" s="11" t="str">
        <f>IF(OR(L35="",M35=""),"",L35/M35)</f>
        <v/>
      </c>
      <c r="O35" s="11" t="str">
        <f>IF(L35="","",L35/8)</f>
        <v/>
      </c>
      <c r="P35" s="9" t="str">
        <f>IF(J35="","",8)</f>
        <v/>
      </c>
      <c r="Q35" s="9" t="str">
        <f>IF(OR(L35="",P35=0),"",L35/P35)</f>
        <v/>
      </c>
      <c r="R35" s="9" t="str">
        <f>IF(L35="","",L35-P35)</f>
        <v/>
      </c>
      <c r="S35" s="9" t="str">
        <f>IF(I35="","",TEXT(I35,"mmm-yyyy"))</f>
        <v/>
      </c>
      <c r="T35" s="9"/>
    </row>
    <row r="36" spans="1:20" x14ac:dyDescent="0.2">
      <c r="A36" s="2"/>
      <c r="B36" s="2"/>
      <c r="C36" s="2"/>
      <c r="D36" s="2"/>
      <c r="E36" s="2"/>
      <c r="F36" s="2" t="str">
        <f>IF(OR(D36="",E36=""),"",D36/E36)</f>
        <v/>
      </c>
      <c r="G36" s="2" t="str">
        <f>IF(D36="","",D36/8)</f>
        <v/>
      </c>
      <c r="I36" s="10"/>
      <c r="J36" s="11"/>
      <c r="K36" s="11"/>
      <c r="L36" s="11"/>
      <c r="M36" s="11"/>
      <c r="N36" s="11" t="str">
        <f>IF(OR(L36="",M36=""),"",L36/M36)</f>
        <v/>
      </c>
      <c r="O36" s="11" t="str">
        <f>IF(L36="","",L36/8)</f>
        <v/>
      </c>
      <c r="P36" s="9" t="str">
        <f>IF(J36="","",8)</f>
        <v/>
      </c>
      <c r="Q36" s="9" t="str">
        <f>IF(OR(L36="",P36=0),"",L36/P36)</f>
        <v/>
      </c>
      <c r="R36" s="9" t="str">
        <f>IF(L36="","",L36-P36)</f>
        <v/>
      </c>
      <c r="S36" s="9" t="str">
        <f>IF(I36="","",TEXT(I36,"mmm-yyyy"))</f>
        <v/>
      </c>
      <c r="T36" s="9"/>
    </row>
    <row r="37" spans="1:20" x14ac:dyDescent="0.2">
      <c r="A37" s="2"/>
      <c r="B37" s="2"/>
      <c r="C37" s="2"/>
      <c r="D37" s="2"/>
      <c r="E37" s="2"/>
      <c r="F37" s="2" t="str">
        <f>IF(OR(D37="",E37=""),"",D37/E37)</f>
        <v/>
      </c>
      <c r="G37" s="2" t="str">
        <f>IF(D37="","",D37/8)</f>
        <v/>
      </c>
      <c r="I37" s="10"/>
      <c r="J37" s="11"/>
      <c r="K37" s="11"/>
      <c r="L37" s="11"/>
      <c r="M37" s="11"/>
      <c r="N37" s="11" t="str">
        <f>IF(OR(L37="",M37=""),"",L37/M37)</f>
        <v/>
      </c>
      <c r="O37" s="11" t="str">
        <f>IF(L37="","",L37/8)</f>
        <v/>
      </c>
      <c r="P37" s="9" t="str">
        <f>IF(J37="","",8)</f>
        <v/>
      </c>
      <c r="Q37" s="9" t="str">
        <f>IF(OR(L37="",P37=0),"",L37/P37)</f>
        <v/>
      </c>
      <c r="R37" s="9" t="str">
        <f>IF(L37="","",L37-P37)</f>
        <v/>
      </c>
      <c r="S37" s="9" t="str">
        <f>IF(I37="","",TEXT(I37,"mmm-yyyy"))</f>
        <v/>
      </c>
      <c r="T37" s="9"/>
    </row>
    <row r="38" spans="1:20" x14ac:dyDescent="0.2">
      <c r="A38" s="2"/>
      <c r="B38" s="2"/>
      <c r="C38" s="2"/>
      <c r="D38" s="2"/>
      <c r="E38" s="2"/>
      <c r="F38" s="2" t="str">
        <f>IF(OR(D38="",E38=""),"",D38/E38)</f>
        <v/>
      </c>
      <c r="G38" s="2" t="str">
        <f>IF(D38="","",D38/8)</f>
        <v/>
      </c>
      <c r="I38" s="10"/>
      <c r="J38" s="11"/>
      <c r="K38" s="11"/>
      <c r="L38" s="11"/>
      <c r="M38" s="11"/>
      <c r="N38" s="11" t="str">
        <f>IF(OR(L38="",M38=""),"",L38/M38)</f>
        <v/>
      </c>
      <c r="O38" s="11" t="str">
        <f>IF(L38="","",L38/8)</f>
        <v/>
      </c>
      <c r="P38" s="9" t="str">
        <f>IF(J38="","",8)</f>
        <v/>
      </c>
      <c r="Q38" s="9" t="str">
        <f>IF(OR(L38="",P38=0),"",L38/P38)</f>
        <v/>
      </c>
      <c r="R38" s="9" t="str">
        <f>IF(L38="","",L38-P38)</f>
        <v/>
      </c>
      <c r="S38" s="9" t="str">
        <f>IF(I38="","",TEXT(I38,"mmm-yyyy"))</f>
        <v/>
      </c>
      <c r="T38" s="9"/>
    </row>
    <row r="39" spans="1:20" x14ac:dyDescent="0.2">
      <c r="A39" s="2"/>
      <c r="B39" s="2"/>
      <c r="C39" s="2"/>
      <c r="D39" s="2"/>
      <c r="E39" s="2"/>
      <c r="F39" s="2" t="str">
        <f>IF(OR(D39="",E39=""),"",D39/E39)</f>
        <v/>
      </c>
      <c r="G39" s="2" t="str">
        <f>IF(D39="","",D39/8)</f>
        <v/>
      </c>
      <c r="I39" s="10"/>
      <c r="J39" s="11"/>
      <c r="K39" s="11"/>
      <c r="L39" s="11"/>
      <c r="M39" s="11"/>
      <c r="N39" s="11" t="str">
        <f>IF(OR(L39="",M39=""),"",L39/M39)</f>
        <v/>
      </c>
      <c r="O39" s="11" t="str">
        <f>IF(L39="","",L39/8)</f>
        <v/>
      </c>
      <c r="P39" s="9" t="str">
        <f>IF(J39="","",8)</f>
        <v/>
      </c>
      <c r="Q39" s="9" t="str">
        <f>IF(OR(L39="",P39=0),"",L39/P39)</f>
        <v/>
      </c>
      <c r="R39" s="9" t="str">
        <f>IF(L39="","",L39-P39)</f>
        <v/>
      </c>
      <c r="S39" s="9" t="str">
        <f>IF(I39="","",TEXT(I39,"mmm-yyyy"))</f>
        <v/>
      </c>
      <c r="T39" s="9"/>
    </row>
    <row r="40" spans="1:20" x14ac:dyDescent="0.2">
      <c r="A40" s="2"/>
      <c r="B40" s="2"/>
      <c r="C40" s="2"/>
      <c r="D40" s="2"/>
      <c r="E40" s="2"/>
      <c r="F40" s="2" t="str">
        <f>IF(OR(D40="",E40=""),"",D40/E40)</f>
        <v/>
      </c>
      <c r="G40" s="2" t="str">
        <f>IF(D40="","",D40/8)</f>
        <v/>
      </c>
      <c r="I40" s="10"/>
      <c r="J40" s="11"/>
      <c r="K40" s="11"/>
      <c r="L40" s="11"/>
      <c r="M40" s="11"/>
      <c r="N40" s="11" t="str">
        <f>IF(OR(L40="",M40=""),"",L40/M40)</f>
        <v/>
      </c>
      <c r="O40" s="11" t="str">
        <f>IF(L40="","",L40/8)</f>
        <v/>
      </c>
      <c r="P40" s="9" t="str">
        <f>IF(J40="","",8)</f>
        <v/>
      </c>
      <c r="Q40" s="9" t="str">
        <f>IF(OR(L40="",P40=0),"",L40/P40)</f>
        <v/>
      </c>
      <c r="R40" s="9" t="str">
        <f>IF(L40="","",L40-P40)</f>
        <v/>
      </c>
      <c r="S40" s="9" t="str">
        <f>IF(I40="","",TEXT(I40,"mmm-yyyy"))</f>
        <v/>
      </c>
      <c r="T40" s="9"/>
    </row>
    <row r="41" spans="1:20" x14ac:dyDescent="0.2">
      <c r="A41" s="2"/>
      <c r="B41" s="2"/>
      <c r="C41" s="2"/>
      <c r="D41" s="2"/>
      <c r="E41" s="2"/>
      <c r="F41" s="2" t="str">
        <f>IF(OR(D41="",E41=""),"",D41/E41)</f>
        <v/>
      </c>
      <c r="G41" s="2" t="str">
        <f>IF(D41="","",D41/8)</f>
        <v/>
      </c>
      <c r="I41" s="10"/>
      <c r="J41" s="11"/>
      <c r="K41" s="11"/>
      <c r="L41" s="11"/>
      <c r="M41" s="11"/>
      <c r="N41" s="11" t="str">
        <f>IF(OR(L41="",M41=""),"",L41/M41)</f>
        <v/>
      </c>
      <c r="O41" s="11" t="str">
        <f>IF(L41="","",L41/8)</f>
        <v/>
      </c>
      <c r="P41" s="9" t="str">
        <f>IF(J41="","",8)</f>
        <v/>
      </c>
      <c r="Q41" s="9" t="str">
        <f>IF(OR(L41="",P41=0),"",L41/P41)</f>
        <v/>
      </c>
      <c r="R41" s="9" t="str">
        <f>IF(L41="","",L41-P41)</f>
        <v/>
      </c>
      <c r="S41" s="9" t="str">
        <f>IF(I41="","",TEXT(I41,"mmm-yyyy"))</f>
        <v/>
      </c>
      <c r="T41" s="9"/>
    </row>
    <row r="42" spans="1:20" x14ac:dyDescent="0.2">
      <c r="A42" s="2"/>
      <c r="B42" s="2"/>
      <c r="C42" s="2"/>
      <c r="D42" s="2"/>
      <c r="E42" s="2"/>
      <c r="F42" s="2" t="str">
        <f>IF(OR(D42="",E42=""),"",D42/E42)</f>
        <v/>
      </c>
      <c r="G42" s="2" t="str">
        <f>IF(D42="","",D42/8)</f>
        <v/>
      </c>
      <c r="I42" s="10"/>
      <c r="J42" s="11"/>
      <c r="K42" s="11"/>
      <c r="L42" s="11"/>
      <c r="M42" s="11"/>
      <c r="N42" s="11" t="str">
        <f>IF(OR(L42="",M42=""),"",L42/M42)</f>
        <v/>
      </c>
      <c r="O42" s="11" t="str">
        <f>IF(L42="","",L42/8)</f>
        <v/>
      </c>
      <c r="P42" s="9" t="str">
        <f>IF(J42="","",8)</f>
        <v/>
      </c>
      <c r="Q42" s="9" t="str">
        <f>IF(OR(L42="",P42=0),"",L42/P42)</f>
        <v/>
      </c>
      <c r="R42" s="9" t="str">
        <f>IF(L42="","",L42-P42)</f>
        <v/>
      </c>
      <c r="S42" s="9" t="str">
        <f>IF(I42="","",TEXT(I42,"mmm-yyyy"))</f>
        <v/>
      </c>
      <c r="T42" s="9"/>
    </row>
    <row r="43" spans="1:20" x14ac:dyDescent="0.2">
      <c r="A43" s="2"/>
      <c r="B43" s="2"/>
      <c r="C43" s="2"/>
      <c r="D43" s="2"/>
      <c r="E43" s="2"/>
      <c r="F43" s="2" t="str">
        <f>IF(OR(D43="",E43=""),"",D43/E43)</f>
        <v/>
      </c>
      <c r="G43" s="2" t="str">
        <f>IF(D43="","",D43/8)</f>
        <v/>
      </c>
      <c r="I43" s="10"/>
      <c r="J43" s="11"/>
      <c r="K43" s="11"/>
      <c r="L43" s="11"/>
      <c r="M43" s="11"/>
      <c r="N43" s="11" t="str">
        <f>IF(OR(L43="",M43=""),"",L43/M43)</f>
        <v/>
      </c>
      <c r="O43" s="11" t="str">
        <f>IF(L43="","",L43/8)</f>
        <v/>
      </c>
      <c r="P43" s="9" t="str">
        <f>IF(J43="","",8)</f>
        <v/>
      </c>
      <c r="Q43" s="9" t="str">
        <f>IF(OR(L43="",P43=0),"",L43/P43)</f>
        <v/>
      </c>
      <c r="R43" s="9" t="str">
        <f>IF(L43="","",L43-P43)</f>
        <v/>
      </c>
      <c r="S43" s="9" t="str">
        <f>IF(I43="","",TEXT(I43,"mmm-yyyy"))</f>
        <v/>
      </c>
      <c r="T43" s="9"/>
    </row>
    <row r="44" spans="1:20" x14ac:dyDescent="0.2">
      <c r="A44" s="2"/>
      <c r="B44" s="2"/>
      <c r="C44" s="2"/>
      <c r="D44" s="2"/>
      <c r="E44" s="2"/>
      <c r="F44" s="2" t="str">
        <f>IF(OR(D44="",E44=""),"",D44/E44)</f>
        <v/>
      </c>
      <c r="G44" s="2" t="str">
        <f>IF(D44="","",D44/8)</f>
        <v/>
      </c>
      <c r="I44" s="10"/>
      <c r="J44" s="11"/>
      <c r="K44" s="11"/>
      <c r="L44" s="11"/>
      <c r="M44" s="11"/>
      <c r="N44" s="11" t="str">
        <f>IF(OR(L44="",M44=""),"",L44/M44)</f>
        <v/>
      </c>
      <c r="O44" s="11" t="str">
        <f>IF(L44="","",L44/8)</f>
        <v/>
      </c>
      <c r="P44" s="9" t="str">
        <f>IF(J44="","",8)</f>
        <v/>
      </c>
      <c r="Q44" s="9" t="str">
        <f>IF(OR(L44="",P44=0),"",L44/P44)</f>
        <v/>
      </c>
      <c r="R44" s="9" t="str">
        <f>IF(L44="","",L44-P44)</f>
        <v/>
      </c>
      <c r="S44" s="9" t="str">
        <f>IF(I44="","",TEXT(I44,"mmm-yyyy"))</f>
        <v/>
      </c>
      <c r="T44" s="9"/>
    </row>
    <row r="45" spans="1:20" x14ac:dyDescent="0.2">
      <c r="A45" s="2"/>
      <c r="B45" s="2"/>
      <c r="C45" s="2"/>
      <c r="D45" s="2"/>
      <c r="E45" s="2"/>
      <c r="F45" s="2" t="str">
        <f>IF(OR(D45="",E45=""),"",D45/E45)</f>
        <v/>
      </c>
      <c r="G45" s="2" t="str">
        <f>IF(D45="","",D45/8)</f>
        <v/>
      </c>
      <c r="I45" s="10"/>
      <c r="J45" s="11"/>
      <c r="K45" s="11"/>
      <c r="L45" s="11"/>
      <c r="M45" s="11"/>
      <c r="N45" s="11" t="str">
        <f>IF(OR(L45="",M45=""),"",L45/M45)</f>
        <v/>
      </c>
      <c r="O45" s="11" t="str">
        <f>IF(L45="","",L45/8)</f>
        <v/>
      </c>
      <c r="P45" s="9" t="str">
        <f>IF(J45="","",8)</f>
        <v/>
      </c>
      <c r="Q45" s="9" t="str">
        <f>IF(OR(L45="",P45=0),"",L45/P45)</f>
        <v/>
      </c>
      <c r="R45" s="9" t="str">
        <f>IF(L45="","",L45-P45)</f>
        <v/>
      </c>
      <c r="S45" s="9" t="str">
        <f>IF(I45="","",TEXT(I45,"mmm-yyyy"))</f>
        <v/>
      </c>
      <c r="T45" s="9"/>
    </row>
    <row r="46" spans="1:20" x14ac:dyDescent="0.2">
      <c r="A46" s="2"/>
      <c r="B46" s="2"/>
      <c r="C46" s="2"/>
      <c r="D46" s="2"/>
      <c r="E46" s="2"/>
      <c r="F46" s="2" t="str">
        <f>IF(OR(D46="",E46=""),"",D46/E46)</f>
        <v/>
      </c>
      <c r="G46" s="2" t="str">
        <f>IF(D46="","",D46/8)</f>
        <v/>
      </c>
      <c r="I46" s="10"/>
      <c r="J46" s="11"/>
      <c r="K46" s="11"/>
      <c r="L46" s="11"/>
      <c r="M46" s="11"/>
      <c r="N46" s="11" t="str">
        <f>IF(OR(L46="",M46=""),"",L46/M46)</f>
        <v/>
      </c>
      <c r="O46" s="11" t="str">
        <f>IF(L46="","",L46/8)</f>
        <v/>
      </c>
      <c r="P46" s="9" t="str">
        <f>IF(J46="","",8)</f>
        <v/>
      </c>
      <c r="Q46" s="9" t="str">
        <f>IF(OR(L46="",P46=0),"",L46/P46)</f>
        <v/>
      </c>
      <c r="R46" s="9" t="str">
        <f>IF(L46="","",L46-P46)</f>
        <v/>
      </c>
      <c r="S46" s="9" t="str">
        <f>IF(I46="","",TEXT(I46,"mmm-yyyy"))</f>
        <v/>
      </c>
      <c r="T46" s="9"/>
    </row>
    <row r="47" spans="1:20" x14ac:dyDescent="0.2">
      <c r="A47" s="2"/>
      <c r="B47" s="2"/>
      <c r="C47" s="2"/>
      <c r="D47" s="2"/>
      <c r="E47" s="2"/>
      <c r="F47" s="2" t="str">
        <f>IF(OR(D47="",E47=""),"",D47/E47)</f>
        <v/>
      </c>
      <c r="G47" s="2" t="str">
        <f>IF(D47="","",D47/8)</f>
        <v/>
      </c>
      <c r="I47" s="10"/>
      <c r="J47" s="11"/>
      <c r="K47" s="11"/>
      <c r="L47" s="11"/>
      <c r="M47" s="11"/>
      <c r="N47" s="11" t="str">
        <f>IF(OR(L47="",M47=""),"",L47/M47)</f>
        <v/>
      </c>
      <c r="O47" s="11" t="str">
        <f>IF(L47="","",L47/8)</f>
        <v/>
      </c>
      <c r="P47" s="9" t="str">
        <f>IF(J47="","",8)</f>
        <v/>
      </c>
      <c r="Q47" s="9" t="str">
        <f>IF(OR(L47="",P47=0),"",L47/P47)</f>
        <v/>
      </c>
      <c r="R47" s="9" t="str">
        <f>IF(L47="","",L47-P47)</f>
        <v/>
      </c>
      <c r="S47" s="9" t="str">
        <f>IF(I47="","",TEXT(I47,"mmm-yyyy"))</f>
        <v/>
      </c>
      <c r="T47" s="9"/>
    </row>
    <row r="48" spans="1:20" x14ac:dyDescent="0.2">
      <c r="A48" s="2"/>
      <c r="B48" s="2"/>
      <c r="C48" s="2"/>
      <c r="D48" s="2"/>
      <c r="E48" s="2"/>
      <c r="F48" s="2" t="str">
        <f>IF(OR(D48="",E48=""),"",D48/E48)</f>
        <v/>
      </c>
      <c r="G48" s="2" t="str">
        <f>IF(D48="","",D48/8)</f>
        <v/>
      </c>
      <c r="I48" s="10"/>
      <c r="J48" s="11"/>
      <c r="K48" s="11"/>
      <c r="L48" s="11"/>
      <c r="M48" s="11"/>
      <c r="N48" s="11" t="str">
        <f>IF(OR(L48="",M48=""),"",L48/M48)</f>
        <v/>
      </c>
      <c r="O48" s="11" t="str">
        <f>IF(L48="","",L48/8)</f>
        <v/>
      </c>
      <c r="P48" s="9" t="str">
        <f>IF(J48="","",8)</f>
        <v/>
      </c>
      <c r="Q48" s="9" t="str">
        <f>IF(OR(L48="",P48=0),"",L48/P48)</f>
        <v/>
      </c>
      <c r="R48" s="9" t="str">
        <f>IF(L48="","",L48-P48)</f>
        <v/>
      </c>
      <c r="S48" s="9" t="str">
        <f>IF(I48="","",TEXT(I48,"mmm-yyyy"))</f>
        <v/>
      </c>
      <c r="T48" s="9"/>
    </row>
    <row r="49" spans="1:20" x14ac:dyDescent="0.2">
      <c r="A49" s="2"/>
      <c r="B49" s="2"/>
      <c r="C49" s="2"/>
      <c r="D49" s="2"/>
      <c r="E49" s="2"/>
      <c r="F49" s="2" t="str">
        <f>IF(OR(D49="",E49=""),"",D49/E49)</f>
        <v/>
      </c>
      <c r="G49" s="2" t="str">
        <f>IF(D49="","",D49/8)</f>
        <v/>
      </c>
      <c r="I49" s="10"/>
      <c r="J49" s="11"/>
      <c r="K49" s="11"/>
      <c r="L49" s="11"/>
      <c r="M49" s="11"/>
      <c r="N49" s="11" t="str">
        <f>IF(OR(L49="",M49=""),"",L49/M49)</f>
        <v/>
      </c>
      <c r="O49" s="11" t="str">
        <f>IF(L49="","",L49/8)</f>
        <v/>
      </c>
      <c r="P49" s="9" t="str">
        <f>IF(J49="","",8)</f>
        <v/>
      </c>
      <c r="Q49" s="9" t="str">
        <f>IF(OR(L49="",P49=0),"",L49/P49)</f>
        <v/>
      </c>
      <c r="R49" s="9" t="str">
        <f>IF(L49="","",L49-P49)</f>
        <v/>
      </c>
      <c r="S49" s="9" t="str">
        <f>IF(I49="","",TEXT(I49,"mmm-yyyy"))</f>
        <v/>
      </c>
      <c r="T49" s="9"/>
    </row>
    <row r="50" spans="1:20" x14ac:dyDescent="0.2">
      <c r="A50" s="2"/>
      <c r="B50" s="2"/>
      <c r="C50" s="2"/>
      <c r="D50" s="2"/>
      <c r="E50" s="2"/>
      <c r="F50" s="2" t="str">
        <f>IF(OR(D50="",E50=""),"",D50/E50)</f>
        <v/>
      </c>
      <c r="G50" s="2" t="str">
        <f>IF(D50="","",D50/8)</f>
        <v/>
      </c>
      <c r="I50" s="10"/>
      <c r="J50" s="11"/>
      <c r="K50" s="11"/>
      <c r="L50" s="11"/>
      <c r="M50" s="11"/>
      <c r="N50" s="11" t="str">
        <f>IF(OR(L50="",M50=""),"",L50/M50)</f>
        <v/>
      </c>
      <c r="O50" s="11" t="str">
        <f>IF(L50="","",L50/8)</f>
        <v/>
      </c>
      <c r="P50" s="9" t="str">
        <f>IF(J50="","",8)</f>
        <v/>
      </c>
      <c r="Q50" s="9" t="str">
        <f>IF(OR(L50="",P50=0),"",L50/P50)</f>
        <v/>
      </c>
      <c r="R50" s="9" t="str">
        <f>IF(L50="","",L50-P50)</f>
        <v/>
      </c>
      <c r="S50" s="9" t="str">
        <f>IF(I50="","",TEXT(I50,"mmm-yyyy"))</f>
        <v/>
      </c>
      <c r="T50" s="9"/>
    </row>
    <row r="51" spans="1:20" x14ac:dyDescent="0.2">
      <c r="A51" s="2"/>
      <c r="B51" s="2"/>
      <c r="C51" s="2"/>
      <c r="D51" s="2"/>
      <c r="E51" s="2"/>
      <c r="F51" s="2" t="str">
        <f>IF(OR(D51="",E51=""),"",D51/E51)</f>
        <v/>
      </c>
      <c r="G51" s="2" t="str">
        <f>IF(D51="","",D51/8)</f>
        <v/>
      </c>
      <c r="I51" s="10"/>
      <c r="J51" s="11"/>
      <c r="K51" s="11"/>
      <c r="L51" s="11"/>
      <c r="M51" s="11"/>
      <c r="N51" s="11" t="str">
        <f>IF(OR(L51="",M51=""),"",L51/M51)</f>
        <v/>
      </c>
      <c r="O51" s="11" t="str">
        <f>IF(L51="","",L51/8)</f>
        <v/>
      </c>
      <c r="P51" s="9" t="str">
        <f>IF(J51="","",8)</f>
        <v/>
      </c>
      <c r="Q51" s="9" t="str">
        <f>IF(OR(L51="",P51=0),"",L51/P51)</f>
        <v/>
      </c>
      <c r="R51" s="9" t="str">
        <f>IF(L51="","",L51-P51)</f>
        <v/>
      </c>
      <c r="S51" s="9" t="str">
        <f>IF(I51="","",TEXT(I51,"mmm-yyyy"))</f>
        <v/>
      </c>
      <c r="T51" s="9"/>
    </row>
    <row r="52" spans="1:20" x14ac:dyDescent="0.2">
      <c r="A52" s="2"/>
      <c r="B52" s="2"/>
      <c r="C52" s="2"/>
      <c r="D52" s="2"/>
      <c r="E52" s="2"/>
      <c r="F52" s="2" t="str">
        <f>IF(OR(D52="",E52=""),"",D52/E52)</f>
        <v/>
      </c>
      <c r="G52" s="2" t="str">
        <f>IF(D52="","",D52/8)</f>
        <v/>
      </c>
      <c r="I52" s="10"/>
      <c r="J52" s="11"/>
      <c r="K52" s="11"/>
      <c r="L52" s="11"/>
      <c r="M52" s="11"/>
      <c r="N52" s="11" t="str">
        <f>IF(OR(L52="",M52=""),"",L52/M52)</f>
        <v/>
      </c>
      <c r="O52" s="11" t="str">
        <f>IF(L52="","",L52/8)</f>
        <v/>
      </c>
      <c r="P52" s="9" t="str">
        <f>IF(J52="","",8)</f>
        <v/>
      </c>
      <c r="Q52" s="9" t="str">
        <f>IF(OR(L52="",P52=0),"",L52/P52)</f>
        <v/>
      </c>
      <c r="R52" s="9" t="str">
        <f>IF(L52="","",L52-P52)</f>
        <v/>
      </c>
      <c r="S52" s="9" t="str">
        <f>IF(I52="","",TEXT(I52,"mmm-yyyy"))</f>
        <v/>
      </c>
      <c r="T52" s="9"/>
    </row>
    <row r="53" spans="1:20" x14ac:dyDescent="0.2">
      <c r="A53" s="2"/>
      <c r="B53" s="2"/>
      <c r="C53" s="2"/>
      <c r="D53" s="2"/>
      <c r="E53" s="2"/>
      <c r="F53" s="2" t="str">
        <f>IF(OR(D53="",E53=""),"",D53/E53)</f>
        <v/>
      </c>
      <c r="G53" s="2" t="str">
        <f>IF(D53="","",D53/8)</f>
        <v/>
      </c>
      <c r="I53" s="10"/>
      <c r="J53" s="11"/>
      <c r="K53" s="11"/>
      <c r="L53" s="11"/>
      <c r="M53" s="11"/>
      <c r="N53" s="11" t="str">
        <f>IF(OR(L53="",M53=""),"",L53/M53)</f>
        <v/>
      </c>
      <c r="O53" s="11" t="str">
        <f>IF(L53="","",L53/8)</f>
        <v/>
      </c>
      <c r="P53" s="9" t="str">
        <f>IF(J53="","",8)</f>
        <v/>
      </c>
      <c r="Q53" s="9" t="str">
        <f>IF(OR(L53="",P53=0),"",L53/P53)</f>
        <v/>
      </c>
      <c r="R53" s="9" t="str">
        <f>IF(L53="","",L53-P53)</f>
        <v/>
      </c>
      <c r="S53" s="9" t="str">
        <f>IF(I53="","",TEXT(I53,"mmm-yyyy"))</f>
        <v/>
      </c>
      <c r="T53" s="9"/>
    </row>
    <row r="54" spans="1:20" x14ac:dyDescent="0.2">
      <c r="A54" s="2"/>
      <c r="B54" s="2"/>
      <c r="C54" s="2"/>
      <c r="D54" s="2"/>
      <c r="E54" s="2"/>
      <c r="F54" s="2" t="str">
        <f>IF(OR(D54="",E54=""),"",D54/E54)</f>
        <v/>
      </c>
      <c r="G54" s="2" t="str">
        <f>IF(D54="","",D54/8)</f>
        <v/>
      </c>
      <c r="I54" s="10"/>
      <c r="J54" s="11"/>
      <c r="K54" s="11"/>
      <c r="L54" s="11"/>
      <c r="M54" s="11"/>
      <c r="N54" s="11" t="str">
        <f>IF(OR(L54="",M54=""),"",L54/M54)</f>
        <v/>
      </c>
      <c r="O54" s="11" t="str">
        <f>IF(L54="","",L54/8)</f>
        <v/>
      </c>
      <c r="P54" s="9" t="str">
        <f>IF(J54="","",8)</f>
        <v/>
      </c>
      <c r="Q54" s="9" t="str">
        <f>IF(OR(L54="",P54=0),"",L54/P54)</f>
        <v/>
      </c>
      <c r="R54" s="9" t="str">
        <f>IF(L54="","",L54-P54)</f>
        <v/>
      </c>
      <c r="S54" s="9" t="str">
        <f>IF(I54="","",TEXT(I54,"mmm-yyyy"))</f>
        <v/>
      </c>
      <c r="T54" s="9"/>
    </row>
    <row r="55" spans="1:20" x14ac:dyDescent="0.2">
      <c r="A55" s="2"/>
      <c r="B55" s="2"/>
      <c r="C55" s="2"/>
      <c r="D55" s="2"/>
      <c r="E55" s="2"/>
      <c r="F55" s="2" t="str">
        <f>IF(OR(D55="",E55=""),"",D55/E55)</f>
        <v/>
      </c>
      <c r="G55" s="2" t="str">
        <f>IF(D55="","",D55/8)</f>
        <v/>
      </c>
      <c r="I55" s="10"/>
      <c r="J55" s="11"/>
      <c r="K55" s="11"/>
      <c r="L55" s="11"/>
      <c r="M55" s="11"/>
      <c r="N55" s="11" t="str">
        <f>IF(OR(L55="",M55=""),"",L55/M55)</f>
        <v/>
      </c>
      <c r="O55" s="11" t="str">
        <f>IF(L55="","",L55/8)</f>
        <v/>
      </c>
      <c r="P55" s="9" t="str">
        <f>IF(J55="","",8)</f>
        <v/>
      </c>
      <c r="Q55" s="9" t="str">
        <f>IF(OR(L55="",P55=0),"",L55/P55)</f>
        <v/>
      </c>
      <c r="R55" s="9" t="str">
        <f>IF(L55="","",L55-P55)</f>
        <v/>
      </c>
      <c r="S55" s="9" t="str">
        <f>IF(I55="","",TEXT(I55,"mmm-yyyy"))</f>
        <v/>
      </c>
      <c r="T55" s="9"/>
    </row>
    <row r="56" spans="1:20" x14ac:dyDescent="0.2">
      <c r="A56" s="2"/>
      <c r="B56" s="2"/>
      <c r="C56" s="2"/>
      <c r="D56" s="2"/>
      <c r="E56" s="2"/>
      <c r="F56" s="2" t="str">
        <f>IF(OR(D56="",E56=""),"",D56/E56)</f>
        <v/>
      </c>
      <c r="G56" s="2" t="str">
        <f>IF(D56="","",D56/8)</f>
        <v/>
      </c>
      <c r="I56" s="10"/>
      <c r="J56" s="11"/>
      <c r="K56" s="11"/>
      <c r="L56" s="11"/>
      <c r="M56" s="11"/>
      <c r="N56" s="11" t="str">
        <f>IF(OR(L56="",M56=""),"",L56/M56)</f>
        <v/>
      </c>
      <c r="O56" s="11" t="str">
        <f>IF(L56="","",L56/8)</f>
        <v/>
      </c>
      <c r="P56" s="9" t="str">
        <f>IF(J56="","",8)</f>
        <v/>
      </c>
      <c r="Q56" s="9" t="str">
        <f>IF(OR(L56="",P56=0),"",L56/P56)</f>
        <v/>
      </c>
      <c r="R56" s="9" t="str">
        <f>IF(L56="","",L56-P56)</f>
        <v/>
      </c>
      <c r="S56" s="9" t="str">
        <f>IF(I56="","",TEXT(I56,"mmm-yyyy"))</f>
        <v/>
      </c>
      <c r="T56" s="9"/>
    </row>
    <row r="57" spans="1:20" x14ac:dyDescent="0.2">
      <c r="A57" s="2"/>
      <c r="B57" s="2"/>
      <c r="C57" s="2"/>
      <c r="D57" s="2"/>
      <c r="E57" s="2"/>
      <c r="F57" s="2" t="str">
        <f>IF(OR(D57="",E57=""),"",D57/E57)</f>
        <v/>
      </c>
      <c r="G57" s="2" t="str">
        <f>IF(D57="","",D57/8)</f>
        <v/>
      </c>
      <c r="I57" s="10"/>
      <c r="J57" s="11"/>
      <c r="K57" s="11"/>
      <c r="L57" s="11"/>
      <c r="M57" s="11"/>
      <c r="N57" s="11" t="str">
        <f>IF(OR(L57="",M57=""),"",L57/M57)</f>
        <v/>
      </c>
      <c r="O57" s="11" t="str">
        <f>IF(L57="","",L57/8)</f>
        <v/>
      </c>
      <c r="P57" s="9" t="str">
        <f>IF(J57="","",8)</f>
        <v/>
      </c>
      <c r="Q57" s="9" t="str">
        <f>IF(OR(L57="",P57=0),"",L57/P57)</f>
        <v/>
      </c>
      <c r="R57" s="9" t="str">
        <f>IF(L57="","",L57-P57)</f>
        <v/>
      </c>
      <c r="S57" s="9" t="str">
        <f>IF(I57="","",TEXT(I57,"mmm-yyyy"))</f>
        <v/>
      </c>
      <c r="T57" s="9"/>
    </row>
    <row r="58" spans="1:20" x14ac:dyDescent="0.2">
      <c r="A58" s="2"/>
      <c r="B58" s="2"/>
      <c r="C58" s="2"/>
      <c r="D58" s="2"/>
      <c r="E58" s="2"/>
      <c r="F58" s="2" t="str">
        <f>IF(OR(D58="",E58=""),"",D58/E58)</f>
        <v/>
      </c>
      <c r="G58" s="2" t="str">
        <f>IF(D58="","",D58/8)</f>
        <v/>
      </c>
      <c r="I58" s="10"/>
      <c r="J58" s="11"/>
      <c r="K58" s="11"/>
      <c r="L58" s="11"/>
      <c r="M58" s="11"/>
      <c r="N58" s="11" t="str">
        <f>IF(OR(L58="",M58=""),"",L58/M58)</f>
        <v/>
      </c>
      <c r="O58" s="11" t="str">
        <f>IF(L58="","",L58/8)</f>
        <v/>
      </c>
      <c r="P58" s="9" t="str">
        <f>IF(J58="","",8)</f>
        <v/>
      </c>
      <c r="Q58" s="9" t="str">
        <f>IF(OR(L58="",P58=0),"",L58/P58)</f>
        <v/>
      </c>
      <c r="R58" s="9" t="str">
        <f>IF(L58="","",L58-P58)</f>
        <v/>
      </c>
      <c r="S58" s="9" t="str">
        <f>IF(I58="","",TEXT(I58,"mmm-yyyy"))</f>
        <v/>
      </c>
      <c r="T58" s="9"/>
    </row>
    <row r="59" spans="1:20" x14ac:dyDescent="0.2">
      <c r="A59" s="2"/>
      <c r="B59" s="2"/>
      <c r="C59" s="2"/>
      <c r="D59" s="2"/>
      <c r="E59" s="2"/>
      <c r="F59" s="2" t="str">
        <f>IF(OR(D59="",E59=""),"",D59/E59)</f>
        <v/>
      </c>
      <c r="G59" s="2" t="str">
        <f>IF(D59="","",D59/8)</f>
        <v/>
      </c>
      <c r="I59" s="10"/>
      <c r="J59" s="11"/>
      <c r="K59" s="11"/>
      <c r="L59" s="11"/>
      <c r="M59" s="11"/>
      <c r="N59" s="11" t="str">
        <f>IF(OR(L59="",M59=""),"",L59/M59)</f>
        <v/>
      </c>
      <c r="O59" s="11" t="str">
        <f>IF(L59="","",L59/8)</f>
        <v/>
      </c>
      <c r="P59" s="9" t="str">
        <f>IF(J59="","",8)</f>
        <v/>
      </c>
      <c r="Q59" s="9" t="str">
        <f>IF(OR(L59="",P59=0),"",L59/P59)</f>
        <v/>
      </c>
      <c r="R59" s="9" t="str">
        <f>IF(L59="","",L59-P59)</f>
        <v/>
      </c>
      <c r="S59" s="9" t="str">
        <f>IF(I59="","",TEXT(I59,"mmm-yyyy"))</f>
        <v/>
      </c>
      <c r="T59" s="9"/>
    </row>
    <row r="60" spans="1:20" x14ac:dyDescent="0.2">
      <c r="A60" s="2"/>
      <c r="B60" s="2"/>
      <c r="C60" s="2"/>
      <c r="D60" s="2"/>
      <c r="E60" s="2"/>
      <c r="F60" s="2" t="str">
        <f>IF(OR(D60="",E60=""),"",D60/E60)</f>
        <v/>
      </c>
      <c r="G60" s="2" t="str">
        <f>IF(D60="","",D60/8)</f>
        <v/>
      </c>
      <c r="I60" s="10"/>
      <c r="J60" s="11"/>
      <c r="K60" s="11"/>
      <c r="L60" s="11"/>
      <c r="M60" s="11"/>
      <c r="N60" s="11" t="str">
        <f>IF(OR(L60="",M60=""),"",L60/M60)</f>
        <v/>
      </c>
      <c r="O60" s="11" t="str">
        <f>IF(L60="","",L60/8)</f>
        <v/>
      </c>
      <c r="P60" s="9" t="str">
        <f>IF(J60="","",8)</f>
        <v/>
      </c>
      <c r="Q60" s="9" t="str">
        <f>IF(OR(L60="",P60=0),"",L60/P60)</f>
        <v/>
      </c>
      <c r="R60" s="9" t="str">
        <f>IF(L60="","",L60-P60)</f>
        <v/>
      </c>
      <c r="S60" s="9" t="str">
        <f>IF(I60="","",TEXT(I60,"mmm-yyyy"))</f>
        <v/>
      </c>
      <c r="T60" s="9"/>
    </row>
    <row r="61" spans="1:20" x14ac:dyDescent="0.2">
      <c r="A61" s="2"/>
      <c r="B61" s="2"/>
      <c r="C61" s="2"/>
      <c r="D61" s="2"/>
      <c r="E61" s="2"/>
      <c r="F61" s="2" t="str">
        <f>IF(OR(D61="",E61=""),"",D61/E61)</f>
        <v/>
      </c>
      <c r="G61" s="2" t="str">
        <f>IF(D61="","",D61/8)</f>
        <v/>
      </c>
      <c r="I61" s="10"/>
      <c r="J61" s="11"/>
      <c r="K61" s="11"/>
      <c r="L61" s="11"/>
      <c r="M61" s="11"/>
      <c r="N61" s="11" t="str">
        <f>IF(OR(L61="",M61=""),"",L61/M61)</f>
        <v/>
      </c>
      <c r="O61" s="11" t="str">
        <f>IF(L61="","",L61/8)</f>
        <v/>
      </c>
      <c r="P61" s="9" t="str">
        <f>IF(J61="","",8)</f>
        <v/>
      </c>
      <c r="Q61" s="9" t="str">
        <f>IF(OR(L61="",P61=0),"",L61/P61)</f>
        <v/>
      </c>
      <c r="R61" s="9" t="str">
        <f>IF(L61="","",L61-P61)</f>
        <v/>
      </c>
      <c r="S61" s="9" t="str">
        <f>IF(I61="","",TEXT(I61,"mmm-yyyy"))</f>
        <v/>
      </c>
      <c r="T61" s="9"/>
    </row>
    <row r="62" spans="1:20" x14ac:dyDescent="0.2">
      <c r="A62" s="2"/>
      <c r="B62" s="2"/>
      <c r="C62" s="2"/>
      <c r="D62" s="2"/>
      <c r="E62" s="2"/>
      <c r="F62" s="2" t="str">
        <f>IF(OR(D62="",E62=""),"",D62/E62)</f>
        <v/>
      </c>
      <c r="G62" s="2" t="str">
        <f>IF(D62="","",D62/8)</f>
        <v/>
      </c>
      <c r="I62" s="10"/>
      <c r="J62" s="11"/>
      <c r="K62" s="11"/>
      <c r="L62" s="11"/>
      <c r="M62" s="11"/>
      <c r="N62" s="11" t="str">
        <f>IF(OR(L62="",M62=""),"",L62/M62)</f>
        <v/>
      </c>
      <c r="O62" s="11" t="str">
        <f>IF(L62="","",L62/8)</f>
        <v/>
      </c>
      <c r="P62" s="9" t="str">
        <f>IF(J62="","",8)</f>
        <v/>
      </c>
      <c r="Q62" s="9" t="str">
        <f>IF(OR(L62="",P62=0),"",L62/P62)</f>
        <v/>
      </c>
      <c r="R62" s="9" t="str">
        <f>IF(L62="","",L62-P62)</f>
        <v/>
      </c>
      <c r="S62" s="9" t="str">
        <f>IF(I62="","",TEXT(I62,"mmm-yyyy"))</f>
        <v/>
      </c>
      <c r="T62" s="9"/>
    </row>
    <row r="63" spans="1:20" x14ac:dyDescent="0.2">
      <c r="A63" s="2"/>
      <c r="B63" s="2"/>
      <c r="C63" s="2"/>
      <c r="D63" s="2"/>
      <c r="E63" s="2"/>
      <c r="F63" s="2" t="str">
        <f>IF(OR(D63="",E63=""),"",D63/E63)</f>
        <v/>
      </c>
      <c r="G63" s="2" t="str">
        <f>IF(D63="","",D63/8)</f>
        <v/>
      </c>
      <c r="I63" s="10"/>
      <c r="J63" s="11"/>
      <c r="K63" s="11"/>
      <c r="L63" s="11"/>
      <c r="M63" s="11"/>
      <c r="N63" s="11" t="str">
        <f>IF(OR(L63="",M63=""),"",L63/M63)</f>
        <v/>
      </c>
      <c r="O63" s="11" t="str">
        <f>IF(L63="","",L63/8)</f>
        <v/>
      </c>
      <c r="P63" s="9" t="str">
        <f>IF(J63="","",8)</f>
        <v/>
      </c>
      <c r="Q63" s="9" t="str">
        <f>IF(OR(L63="",P63=0),"",L63/P63)</f>
        <v/>
      </c>
      <c r="R63" s="9" t="str">
        <f>IF(L63="","",L63-P63)</f>
        <v/>
      </c>
      <c r="S63" s="9" t="str">
        <f>IF(I63="","",TEXT(I63,"mmm-yyyy"))</f>
        <v/>
      </c>
      <c r="T63" s="9"/>
    </row>
    <row r="64" spans="1:20" x14ac:dyDescent="0.2">
      <c r="A64" s="2"/>
      <c r="B64" s="2"/>
      <c r="C64" s="2"/>
      <c r="D64" s="2"/>
      <c r="E64" s="2"/>
      <c r="F64" s="2" t="str">
        <f>IF(OR(D64="",E64=""),"",D64/E64)</f>
        <v/>
      </c>
      <c r="G64" s="2" t="str">
        <f>IF(D64="","",D64/8)</f>
        <v/>
      </c>
      <c r="I64" s="10"/>
      <c r="J64" s="11"/>
      <c r="K64" s="11"/>
      <c r="L64" s="11"/>
      <c r="M64" s="11"/>
      <c r="N64" s="11" t="str">
        <f>IF(OR(L64="",M64=""),"",L64/M64)</f>
        <v/>
      </c>
      <c r="O64" s="11" t="str">
        <f>IF(L64="","",L64/8)</f>
        <v/>
      </c>
      <c r="P64" s="9" t="str">
        <f>IF(J64="","",8)</f>
        <v/>
      </c>
      <c r="Q64" s="9" t="str">
        <f>IF(OR(L64="",P64=0),"",L64/P64)</f>
        <v/>
      </c>
      <c r="R64" s="9" t="str">
        <f>IF(L64="","",L64-P64)</f>
        <v/>
      </c>
      <c r="S64" s="9" t="str">
        <f>IF(I64="","",TEXT(I64,"mmm-yyyy"))</f>
        <v/>
      </c>
      <c r="T64" s="9"/>
    </row>
    <row r="65" spans="1:20" x14ac:dyDescent="0.2">
      <c r="A65" s="2"/>
      <c r="B65" s="2"/>
      <c r="C65" s="2"/>
      <c r="D65" s="2"/>
      <c r="E65" s="2"/>
      <c r="F65" s="2" t="str">
        <f>IF(OR(D65="",E65=""),"",D65/E65)</f>
        <v/>
      </c>
      <c r="G65" s="2" t="str">
        <f>IF(D65="","",D65/8)</f>
        <v/>
      </c>
      <c r="I65" s="10"/>
      <c r="J65" s="11"/>
      <c r="K65" s="11"/>
      <c r="L65" s="11"/>
      <c r="M65" s="11"/>
      <c r="N65" s="11" t="str">
        <f>IF(OR(L65="",M65=""),"",L65/M65)</f>
        <v/>
      </c>
      <c r="O65" s="11" t="str">
        <f>IF(L65="","",L65/8)</f>
        <v/>
      </c>
      <c r="P65" s="9" t="str">
        <f>IF(J65="","",8)</f>
        <v/>
      </c>
      <c r="Q65" s="9" t="str">
        <f>IF(OR(L65="",P65=0),"",L65/P65)</f>
        <v/>
      </c>
      <c r="R65" s="9" t="str">
        <f>IF(L65="","",L65-P65)</f>
        <v/>
      </c>
      <c r="S65" s="9" t="str">
        <f>IF(I65="","",TEXT(I65,"mmm-yyyy"))</f>
        <v/>
      </c>
      <c r="T65" s="9"/>
    </row>
    <row r="66" spans="1:20" x14ac:dyDescent="0.2">
      <c r="A66" s="2"/>
      <c r="B66" s="2"/>
      <c r="C66" s="2"/>
      <c r="D66" s="2"/>
      <c r="E66" s="2"/>
      <c r="F66" s="2" t="str">
        <f>IF(OR(D66="",E66=""),"",D66/E66)</f>
        <v/>
      </c>
      <c r="G66" s="2" t="str">
        <f>IF(D66="","",D66/8)</f>
        <v/>
      </c>
      <c r="I66" s="10"/>
      <c r="J66" s="11"/>
      <c r="K66" s="11"/>
      <c r="L66" s="11"/>
      <c r="M66" s="11"/>
      <c r="N66" s="11" t="str">
        <f>IF(OR(L66="",M66=""),"",L66/M66)</f>
        <v/>
      </c>
      <c r="O66" s="11" t="str">
        <f>IF(L66="","",L66/8)</f>
        <v/>
      </c>
      <c r="P66" s="9" t="str">
        <f>IF(J66="","",8)</f>
        <v/>
      </c>
      <c r="Q66" s="9" t="str">
        <f>IF(OR(L66="",P66=0),"",L66/P66)</f>
        <v/>
      </c>
      <c r="R66" s="9" t="str">
        <f>IF(L66="","",L66-P66)</f>
        <v/>
      </c>
      <c r="S66" s="9" t="str">
        <f>IF(I66="","",TEXT(I66,"mmm-yyyy"))</f>
        <v/>
      </c>
      <c r="T66" s="9"/>
    </row>
    <row r="67" spans="1:20" x14ac:dyDescent="0.2">
      <c r="A67" s="2"/>
      <c r="B67" s="2"/>
      <c r="C67" s="2"/>
      <c r="D67" s="2"/>
      <c r="E67" s="2"/>
      <c r="F67" s="2" t="str">
        <f>IF(OR(D67="",E67=""),"",D67/E67)</f>
        <v/>
      </c>
      <c r="G67" s="2" t="str">
        <f>IF(D67="","",D67/8)</f>
        <v/>
      </c>
      <c r="I67" s="10"/>
      <c r="J67" s="11"/>
      <c r="K67" s="11"/>
      <c r="L67" s="11"/>
      <c r="M67" s="11"/>
      <c r="N67" s="11" t="str">
        <f>IF(OR(L67="",M67=""),"",L67/M67)</f>
        <v/>
      </c>
      <c r="O67" s="11" t="str">
        <f>IF(L67="","",L67/8)</f>
        <v/>
      </c>
      <c r="P67" s="9" t="str">
        <f>IF(J67="","",8)</f>
        <v/>
      </c>
      <c r="Q67" s="9" t="str">
        <f>IF(OR(L67="",P67=0),"",L67/P67)</f>
        <v/>
      </c>
      <c r="R67" s="9" t="str">
        <f>IF(L67="","",L67-P67)</f>
        <v/>
      </c>
      <c r="S67" s="9" t="str">
        <f>IF(I67="","",TEXT(I67,"mmm-yyyy"))</f>
        <v/>
      </c>
      <c r="T67" s="9"/>
    </row>
    <row r="68" spans="1:20" x14ac:dyDescent="0.2">
      <c r="A68" s="2"/>
      <c r="B68" s="2"/>
      <c r="C68" s="2"/>
      <c r="D68" s="2"/>
      <c r="E68" s="2"/>
      <c r="F68" s="2" t="str">
        <f>IF(OR(D68="",E68=""),"",D68/E68)</f>
        <v/>
      </c>
      <c r="G68" s="2" t="str">
        <f>IF(D68="","",D68/8)</f>
        <v/>
      </c>
      <c r="I68" s="10"/>
      <c r="J68" s="11"/>
      <c r="K68" s="11"/>
      <c r="L68" s="11"/>
      <c r="M68" s="11"/>
      <c r="N68" s="11" t="str">
        <f>IF(OR(L68="",M68=""),"",L68/M68)</f>
        <v/>
      </c>
      <c r="O68" s="11" t="str">
        <f>IF(L68="","",L68/8)</f>
        <v/>
      </c>
      <c r="P68" s="9" t="str">
        <f>IF(J68="","",8)</f>
        <v/>
      </c>
      <c r="Q68" s="9" t="str">
        <f>IF(OR(L68="",P68=0),"",L68/P68)</f>
        <v/>
      </c>
      <c r="R68" s="9" t="str">
        <f>IF(L68="","",L68-P68)</f>
        <v/>
      </c>
      <c r="S68" s="9" t="str">
        <f>IF(I68="","",TEXT(I68,"mmm-yyyy"))</f>
        <v/>
      </c>
      <c r="T68" s="9"/>
    </row>
    <row r="69" spans="1:20" x14ac:dyDescent="0.2">
      <c r="A69" s="2"/>
      <c r="B69" s="2"/>
      <c r="C69" s="2"/>
      <c r="D69" s="2"/>
      <c r="E69" s="2"/>
      <c r="F69" s="2" t="str">
        <f>IF(OR(D69="",E69=""),"",D69/E69)</f>
        <v/>
      </c>
      <c r="G69" s="2" t="str">
        <f>IF(D69="","",D69/8)</f>
        <v/>
      </c>
      <c r="I69" s="10"/>
      <c r="J69" s="11"/>
      <c r="K69" s="11"/>
      <c r="L69" s="11"/>
      <c r="M69" s="11"/>
      <c r="N69" s="11" t="str">
        <f>IF(OR(L69="",M69=""),"",L69/M69)</f>
        <v/>
      </c>
      <c r="O69" s="11" t="str">
        <f>IF(L69="","",L69/8)</f>
        <v/>
      </c>
      <c r="P69" s="9" t="str">
        <f>IF(J69="","",8)</f>
        <v/>
      </c>
      <c r="Q69" s="9" t="str">
        <f>IF(OR(L69="",P69=0),"",L69/P69)</f>
        <v/>
      </c>
      <c r="R69" s="9" t="str">
        <f>IF(L69="","",L69-P69)</f>
        <v/>
      </c>
      <c r="S69" s="9" t="str">
        <f>IF(I69="","",TEXT(I69,"mmm-yyyy"))</f>
        <v/>
      </c>
      <c r="T69" s="9"/>
    </row>
    <row r="70" spans="1:20" x14ac:dyDescent="0.2">
      <c r="A70" s="2"/>
      <c r="B70" s="2"/>
      <c r="C70" s="2"/>
      <c r="D70" s="2"/>
      <c r="E70" s="2"/>
      <c r="F70" s="2" t="str">
        <f>IF(OR(D70="",E70=""),"",D70/E70)</f>
        <v/>
      </c>
      <c r="G70" s="2" t="str">
        <f>IF(D70="","",D70/8)</f>
        <v/>
      </c>
      <c r="I70" s="10"/>
      <c r="J70" s="11"/>
      <c r="K70" s="11"/>
      <c r="L70" s="11"/>
      <c r="M70" s="11"/>
      <c r="N70" s="11" t="str">
        <f>IF(OR(L70="",M70=""),"",L70/M70)</f>
        <v/>
      </c>
      <c r="O70" s="11" t="str">
        <f>IF(L70="","",L70/8)</f>
        <v/>
      </c>
      <c r="P70" s="9" t="str">
        <f>IF(J70="","",8)</f>
        <v/>
      </c>
      <c r="Q70" s="9" t="str">
        <f>IF(OR(L70="",P70=0),"",L70/P70)</f>
        <v/>
      </c>
      <c r="R70" s="9" t="str">
        <f>IF(L70="","",L70-P70)</f>
        <v/>
      </c>
      <c r="S70" s="9" t="str">
        <f>IF(I70="","",TEXT(I70,"mmm-yyyy"))</f>
        <v/>
      </c>
      <c r="T70" s="9"/>
    </row>
    <row r="71" spans="1:20" x14ac:dyDescent="0.2">
      <c r="A71" s="2"/>
      <c r="B71" s="2"/>
      <c r="C71" s="2"/>
      <c r="D71" s="2"/>
      <c r="E71" s="2"/>
      <c r="F71" s="2" t="str">
        <f>IF(OR(D71="",E71=""),"",D71/E71)</f>
        <v/>
      </c>
      <c r="G71" s="2" t="str">
        <f>IF(D71="","",D71/8)</f>
        <v/>
      </c>
      <c r="I71" s="10"/>
      <c r="J71" s="11"/>
      <c r="K71" s="11"/>
      <c r="L71" s="11"/>
      <c r="M71" s="11"/>
      <c r="N71" s="11" t="str">
        <f>IF(OR(L71="",M71=""),"",L71/M71)</f>
        <v/>
      </c>
      <c r="O71" s="11" t="str">
        <f>IF(L71="","",L71/8)</f>
        <v/>
      </c>
      <c r="P71" s="9" t="str">
        <f>IF(J71="","",8)</f>
        <v/>
      </c>
      <c r="Q71" s="9" t="str">
        <f>IF(OR(L71="",P71=0),"",L71/P71)</f>
        <v/>
      </c>
      <c r="R71" s="9" t="str">
        <f>IF(L71="","",L71-P71)</f>
        <v/>
      </c>
      <c r="S71" s="9" t="str">
        <f>IF(I71="","",TEXT(I71,"mmm-yyyy"))</f>
        <v/>
      </c>
      <c r="T71" s="9"/>
    </row>
    <row r="72" spans="1:20" x14ac:dyDescent="0.2">
      <c r="A72" s="2"/>
      <c r="B72" s="2"/>
      <c r="C72" s="2"/>
      <c r="D72" s="2"/>
      <c r="E72" s="2"/>
      <c r="F72" s="2" t="str">
        <f>IF(OR(D72="",E72=""),"",D72/E72)</f>
        <v/>
      </c>
      <c r="G72" s="2" t="str">
        <f>IF(D72="","",D72/8)</f>
        <v/>
      </c>
      <c r="I72" s="10"/>
      <c r="J72" s="11"/>
      <c r="K72" s="11"/>
      <c r="L72" s="11"/>
      <c r="M72" s="11"/>
      <c r="N72" s="11" t="str">
        <f>IF(OR(L72="",M72=""),"",L72/M72)</f>
        <v/>
      </c>
      <c r="O72" s="11" t="str">
        <f>IF(L72="","",L72/8)</f>
        <v/>
      </c>
      <c r="P72" s="9" t="str">
        <f>IF(J72="","",8)</f>
        <v/>
      </c>
      <c r="Q72" s="9" t="str">
        <f>IF(OR(L72="",P72=0),"",L72/P72)</f>
        <v/>
      </c>
      <c r="R72" s="9" t="str">
        <f>IF(L72="","",L72-P72)</f>
        <v/>
      </c>
      <c r="S72" s="9" t="str">
        <f>IF(I72="","",TEXT(I72,"mmm-yyyy"))</f>
        <v/>
      </c>
      <c r="T72" s="9"/>
    </row>
    <row r="73" spans="1:20" x14ac:dyDescent="0.2">
      <c r="A73" s="2"/>
      <c r="B73" s="2"/>
      <c r="C73" s="2"/>
      <c r="D73" s="2"/>
      <c r="E73" s="2"/>
      <c r="F73" s="2" t="str">
        <f>IF(OR(D73="",E73=""),"",D73/E73)</f>
        <v/>
      </c>
      <c r="G73" s="2" t="str">
        <f>IF(D73="","",D73/8)</f>
        <v/>
      </c>
      <c r="I73" s="10"/>
      <c r="J73" s="11"/>
      <c r="K73" s="11"/>
      <c r="L73" s="11"/>
      <c r="M73" s="11"/>
      <c r="N73" s="11" t="str">
        <f>IF(OR(L73="",M73=""),"",L73/M73)</f>
        <v/>
      </c>
      <c r="O73" s="11" t="str">
        <f>IF(L73="","",L73/8)</f>
        <v/>
      </c>
      <c r="P73" s="9" t="str">
        <f>IF(J73="","",8)</f>
        <v/>
      </c>
      <c r="Q73" s="9" t="str">
        <f>IF(OR(L73="",P73=0),"",L73/P73)</f>
        <v/>
      </c>
      <c r="R73" s="9" t="str">
        <f>IF(L73="","",L73-P73)</f>
        <v/>
      </c>
      <c r="S73" s="9" t="str">
        <f>IF(I73="","",TEXT(I73,"mmm-yyyy"))</f>
        <v/>
      </c>
      <c r="T73" s="9"/>
    </row>
    <row r="74" spans="1:20" x14ac:dyDescent="0.2">
      <c r="A74" s="2"/>
      <c r="B74" s="2"/>
      <c r="C74" s="2"/>
      <c r="D74" s="2"/>
      <c r="E74" s="2"/>
      <c r="F74" s="2" t="str">
        <f>IF(OR(D74="",E74=""),"",D74/E74)</f>
        <v/>
      </c>
      <c r="G74" s="2" t="str">
        <f>IF(D74="","",D74/8)</f>
        <v/>
      </c>
      <c r="I74" s="10"/>
      <c r="J74" s="11"/>
      <c r="K74" s="11"/>
      <c r="L74" s="11"/>
      <c r="M74" s="11"/>
      <c r="N74" s="11" t="str">
        <f>IF(OR(L74="",M74=""),"",L74/M74)</f>
        <v/>
      </c>
      <c r="O74" s="11" t="str">
        <f>IF(L74="","",L74/8)</f>
        <v/>
      </c>
      <c r="P74" s="9" t="str">
        <f>IF(J74="","",8)</f>
        <v/>
      </c>
      <c r="Q74" s="9" t="str">
        <f>IF(OR(L74="",P74=0),"",L74/P74)</f>
        <v/>
      </c>
      <c r="R74" s="9" t="str">
        <f>IF(L74="","",L74-P74)</f>
        <v/>
      </c>
      <c r="S74" s="9" t="str">
        <f>IF(I74="","",TEXT(I74,"mmm-yyyy"))</f>
        <v/>
      </c>
      <c r="T74" s="9"/>
    </row>
    <row r="75" spans="1:20" x14ac:dyDescent="0.2">
      <c r="A75" s="2"/>
      <c r="B75" s="2"/>
      <c r="C75" s="2"/>
      <c r="D75" s="2"/>
      <c r="E75" s="2"/>
      <c r="F75" s="2" t="str">
        <f>IF(OR(D75="",E75=""),"",D75/E75)</f>
        <v/>
      </c>
      <c r="G75" s="2" t="str">
        <f>IF(D75="","",D75/8)</f>
        <v/>
      </c>
      <c r="I75" s="10"/>
      <c r="J75" s="11"/>
      <c r="K75" s="11"/>
      <c r="L75" s="11"/>
      <c r="M75" s="11"/>
      <c r="N75" s="11" t="str">
        <f>IF(OR(L75="",M75=""),"",L75/M75)</f>
        <v/>
      </c>
      <c r="O75" s="11" t="str">
        <f>IF(L75="","",L75/8)</f>
        <v/>
      </c>
      <c r="P75" s="9" t="str">
        <f>IF(J75="","",8)</f>
        <v/>
      </c>
      <c r="Q75" s="9" t="str">
        <f>IF(OR(L75="",P75=0),"",L75/P75)</f>
        <v/>
      </c>
      <c r="R75" s="9" t="str">
        <f>IF(L75="","",L75-P75)</f>
        <v/>
      </c>
      <c r="S75" s="9" t="str">
        <f>IF(I75="","",TEXT(I75,"mmm-yyyy"))</f>
        <v/>
      </c>
      <c r="T75" s="9"/>
    </row>
    <row r="76" spans="1:20" x14ac:dyDescent="0.2">
      <c r="A76" s="2"/>
      <c r="B76" s="2"/>
      <c r="C76" s="2"/>
      <c r="D76" s="2"/>
      <c r="E76" s="2"/>
      <c r="F76" s="2" t="str">
        <f>IF(OR(D76="",E76=""),"",D76/E76)</f>
        <v/>
      </c>
      <c r="G76" s="2" t="str">
        <f>IF(D76="","",D76/8)</f>
        <v/>
      </c>
      <c r="I76" s="10"/>
      <c r="J76" s="11"/>
      <c r="K76" s="11"/>
      <c r="L76" s="11"/>
      <c r="M76" s="11"/>
      <c r="N76" s="11" t="str">
        <f>IF(OR(L76="",M76=""),"",L76/M76)</f>
        <v/>
      </c>
      <c r="O76" s="11" t="str">
        <f>IF(L76="","",L76/8)</f>
        <v/>
      </c>
      <c r="P76" s="9" t="str">
        <f>IF(J76="","",8)</f>
        <v/>
      </c>
      <c r="Q76" s="9" t="str">
        <f>IF(OR(L76="",P76=0),"",L76/P76)</f>
        <v/>
      </c>
      <c r="R76" s="9" t="str">
        <f>IF(L76="","",L76-P76)</f>
        <v/>
      </c>
      <c r="S76" s="9" t="str">
        <f>IF(I76="","",TEXT(I76,"mmm-yyyy"))</f>
        <v/>
      </c>
      <c r="T76" s="9"/>
    </row>
    <row r="77" spans="1:20" x14ac:dyDescent="0.2">
      <c r="A77" s="2"/>
      <c r="B77" s="2"/>
      <c r="C77" s="2"/>
      <c r="D77" s="2"/>
      <c r="E77" s="2"/>
      <c r="F77" s="2" t="str">
        <f>IF(OR(D77="",E77=""),"",D77/E77)</f>
        <v/>
      </c>
      <c r="G77" s="2" t="str">
        <f>IF(D77="","",D77/8)</f>
        <v/>
      </c>
      <c r="I77" s="10"/>
      <c r="J77" s="11"/>
      <c r="K77" s="11"/>
      <c r="L77" s="11"/>
      <c r="M77" s="11"/>
      <c r="N77" s="11" t="str">
        <f>IF(OR(L77="",M77=""),"",L77/M77)</f>
        <v/>
      </c>
      <c r="O77" s="11" t="str">
        <f>IF(L77="","",L77/8)</f>
        <v/>
      </c>
      <c r="P77" s="9" t="str">
        <f>IF(J77="","",8)</f>
        <v/>
      </c>
      <c r="Q77" s="9" t="str">
        <f>IF(OR(L77="",P77=0),"",L77/P77)</f>
        <v/>
      </c>
      <c r="R77" s="9" t="str">
        <f>IF(L77="","",L77-P77)</f>
        <v/>
      </c>
      <c r="S77" s="9" t="str">
        <f>IF(I77="","",TEXT(I77,"mmm-yyyy"))</f>
        <v/>
      </c>
      <c r="T77" s="9"/>
    </row>
    <row r="78" spans="1:20" x14ac:dyDescent="0.2">
      <c r="A78" s="2"/>
      <c r="B78" s="2"/>
      <c r="C78" s="2"/>
      <c r="D78" s="2"/>
      <c r="E78" s="2"/>
      <c r="F78" s="2" t="str">
        <f>IF(OR(D78="",E78=""),"",D78/E78)</f>
        <v/>
      </c>
      <c r="G78" s="2" t="str">
        <f>IF(D78="","",D78/8)</f>
        <v/>
      </c>
      <c r="I78" s="10"/>
      <c r="J78" s="11"/>
      <c r="K78" s="11"/>
      <c r="L78" s="11"/>
      <c r="M78" s="11"/>
      <c r="N78" s="11" t="str">
        <f>IF(OR(L78="",M78=""),"",L78/M78)</f>
        <v/>
      </c>
      <c r="O78" s="11" t="str">
        <f>IF(L78="","",L78/8)</f>
        <v/>
      </c>
      <c r="P78" s="9" t="str">
        <f>IF(J78="","",8)</f>
        <v/>
      </c>
      <c r="Q78" s="9" t="str">
        <f>IF(OR(L78="",P78=0),"",L78/P78)</f>
        <v/>
      </c>
      <c r="R78" s="9" t="str">
        <f>IF(L78="","",L78-P78)</f>
        <v/>
      </c>
      <c r="S78" s="9" t="str">
        <f>IF(I78="","",TEXT(I78,"mmm-yyyy"))</f>
        <v/>
      </c>
      <c r="T78" s="9"/>
    </row>
    <row r="79" spans="1:20" x14ac:dyDescent="0.2">
      <c r="A79" s="2"/>
      <c r="B79" s="2"/>
      <c r="C79" s="2"/>
      <c r="D79" s="2"/>
      <c r="E79" s="2"/>
      <c r="F79" s="2" t="str">
        <f>IF(OR(D79="",E79=""),"",D79/E79)</f>
        <v/>
      </c>
      <c r="G79" s="2" t="str">
        <f>IF(D79="","",D79/8)</f>
        <v/>
      </c>
      <c r="I79" s="10"/>
      <c r="J79" s="11"/>
      <c r="K79" s="11"/>
      <c r="L79" s="11"/>
      <c r="M79" s="11"/>
      <c r="N79" s="11" t="str">
        <f>IF(OR(L79="",M79=""),"",L79/M79)</f>
        <v/>
      </c>
      <c r="O79" s="11" t="str">
        <f>IF(L79="","",L79/8)</f>
        <v/>
      </c>
      <c r="P79" s="9" t="str">
        <f>IF(J79="","",8)</f>
        <v/>
      </c>
      <c r="Q79" s="9" t="str">
        <f>IF(OR(L79="",P79=0),"",L79/P79)</f>
        <v/>
      </c>
      <c r="R79" s="9" t="str">
        <f>IF(L79="","",L79-P79)</f>
        <v/>
      </c>
      <c r="S79" s="9" t="str">
        <f>IF(I79="","",TEXT(I79,"mmm-yyyy"))</f>
        <v/>
      </c>
      <c r="T79" s="9"/>
    </row>
    <row r="80" spans="1:20" x14ac:dyDescent="0.2">
      <c r="A80" s="2"/>
      <c r="B80" s="2"/>
      <c r="C80" s="2"/>
      <c r="D80" s="2"/>
      <c r="E80" s="2"/>
      <c r="F80" s="2" t="str">
        <f>IF(OR(D80="",E80=""),"",D80/E80)</f>
        <v/>
      </c>
      <c r="G80" s="2" t="str">
        <f>IF(D80="","",D80/8)</f>
        <v/>
      </c>
      <c r="I80" s="10"/>
      <c r="J80" s="11"/>
      <c r="K80" s="11"/>
      <c r="L80" s="11"/>
      <c r="M80" s="11"/>
      <c r="N80" s="11" t="str">
        <f>IF(OR(L80="",M80=""),"",L80/M80)</f>
        <v/>
      </c>
      <c r="O80" s="11" t="str">
        <f>IF(L80="","",L80/8)</f>
        <v/>
      </c>
      <c r="P80" s="9" t="str">
        <f>IF(J80="","",8)</f>
        <v/>
      </c>
      <c r="Q80" s="9" t="str">
        <f>IF(OR(L80="",P80=0),"",L80/P80)</f>
        <v/>
      </c>
      <c r="R80" s="9" t="str">
        <f>IF(L80="","",L80-P80)</f>
        <v/>
      </c>
      <c r="S80" s="9" t="str">
        <f>IF(I80="","",TEXT(I80,"mmm-yyyy"))</f>
        <v/>
      </c>
      <c r="T80" s="9"/>
    </row>
    <row r="81" spans="1:20" x14ac:dyDescent="0.2">
      <c r="A81" s="2"/>
      <c r="B81" s="2"/>
      <c r="C81" s="2"/>
      <c r="D81" s="2"/>
      <c r="E81" s="2"/>
      <c r="F81" s="2" t="str">
        <f>IF(OR(D81="",E81=""),"",D81/E81)</f>
        <v/>
      </c>
      <c r="G81" s="2" t="str">
        <f>IF(D81="","",D81/8)</f>
        <v/>
      </c>
      <c r="I81" s="10"/>
      <c r="J81" s="11"/>
      <c r="K81" s="11"/>
      <c r="L81" s="11"/>
      <c r="M81" s="11"/>
      <c r="N81" s="11" t="str">
        <f>IF(OR(L81="",M81=""),"",L81/M81)</f>
        <v/>
      </c>
      <c r="O81" s="11" t="str">
        <f>IF(L81="","",L81/8)</f>
        <v/>
      </c>
      <c r="P81" s="9" t="str">
        <f>IF(J81="","",8)</f>
        <v/>
      </c>
      <c r="Q81" s="9" t="str">
        <f>IF(OR(L81="",P81=0),"",L81/P81)</f>
        <v/>
      </c>
      <c r="R81" s="9" t="str">
        <f>IF(L81="","",L81-P81)</f>
        <v/>
      </c>
      <c r="S81" s="9" t="str">
        <f>IF(I81="","",TEXT(I81,"mmm-yyyy"))</f>
        <v/>
      </c>
      <c r="T81" s="9"/>
    </row>
    <row r="82" spans="1:20" x14ac:dyDescent="0.2">
      <c r="A82" s="2"/>
      <c r="B82" s="2"/>
      <c r="C82" s="2"/>
      <c r="D82" s="2"/>
      <c r="E82" s="2"/>
      <c r="F82" s="2" t="str">
        <f>IF(OR(D82="",E82=""),"",D82/E82)</f>
        <v/>
      </c>
      <c r="G82" s="2" t="str">
        <f>IF(D82="","",D82/8)</f>
        <v/>
      </c>
      <c r="I82" s="10"/>
      <c r="J82" s="11"/>
      <c r="K82" s="11"/>
      <c r="L82" s="11"/>
      <c r="M82" s="11"/>
      <c r="N82" s="11" t="str">
        <f>IF(OR(L82="",M82=""),"",L82/M82)</f>
        <v/>
      </c>
      <c r="O82" s="11" t="str">
        <f>IF(L82="","",L82/8)</f>
        <v/>
      </c>
      <c r="P82" s="9" t="str">
        <f>IF(J82="","",8)</f>
        <v/>
      </c>
      <c r="Q82" s="9" t="str">
        <f>IF(OR(L82="",P82=0),"",L82/P82)</f>
        <v/>
      </c>
      <c r="R82" s="9" t="str">
        <f>IF(L82="","",L82-P82)</f>
        <v/>
      </c>
      <c r="S82" s="9" t="str">
        <f>IF(I82="","",TEXT(I82,"mmm-yyyy"))</f>
        <v/>
      </c>
      <c r="T82" s="9"/>
    </row>
    <row r="83" spans="1:20" x14ac:dyDescent="0.2">
      <c r="A83" s="2"/>
      <c r="B83" s="2"/>
      <c r="C83" s="2"/>
      <c r="D83" s="2"/>
      <c r="E83" s="2"/>
      <c r="F83" s="2" t="str">
        <f>IF(OR(D83="",E83=""),"",D83/E83)</f>
        <v/>
      </c>
      <c r="G83" s="2" t="str">
        <f>IF(D83="","",D83/8)</f>
        <v/>
      </c>
      <c r="I83" s="10"/>
      <c r="J83" s="11"/>
      <c r="K83" s="11"/>
      <c r="L83" s="11"/>
      <c r="M83" s="11"/>
      <c r="N83" s="11" t="str">
        <f>IF(OR(L83="",M83=""),"",L83/M83)</f>
        <v/>
      </c>
      <c r="O83" s="11" t="str">
        <f>IF(L83="","",L83/8)</f>
        <v/>
      </c>
      <c r="P83" s="9" t="str">
        <f>IF(J83="","",8)</f>
        <v/>
      </c>
      <c r="Q83" s="9" t="str">
        <f>IF(OR(L83="",P83=0),"",L83/P83)</f>
        <v/>
      </c>
      <c r="R83" s="9" t="str">
        <f>IF(L83="","",L83-P83)</f>
        <v/>
      </c>
      <c r="S83" s="9" t="str">
        <f>IF(I83="","",TEXT(I83,"mmm-yyyy"))</f>
        <v/>
      </c>
      <c r="T83" s="9"/>
    </row>
    <row r="84" spans="1:20" x14ac:dyDescent="0.2">
      <c r="A84" s="2"/>
      <c r="B84" s="2"/>
      <c r="C84" s="2"/>
      <c r="D84" s="2"/>
      <c r="E84" s="2"/>
      <c r="F84" s="2" t="str">
        <f>IF(OR(D84="",E84=""),"",D84/E84)</f>
        <v/>
      </c>
      <c r="G84" s="2" t="str">
        <f>IF(D84="","",D84/8)</f>
        <v/>
      </c>
      <c r="I84" s="10"/>
      <c r="J84" s="11"/>
      <c r="K84" s="11"/>
      <c r="L84" s="11"/>
      <c r="M84" s="11"/>
      <c r="N84" s="11" t="str">
        <f>IF(OR(L84="",M84=""),"",L84/M84)</f>
        <v/>
      </c>
      <c r="O84" s="11" t="str">
        <f>IF(L84="","",L84/8)</f>
        <v/>
      </c>
      <c r="P84" s="9" t="str">
        <f>IF(J84="","",8)</f>
        <v/>
      </c>
      <c r="Q84" s="9" t="str">
        <f>IF(OR(L84="",P84=0),"",L84/P84)</f>
        <v/>
      </c>
      <c r="R84" s="9" t="str">
        <f>IF(L84="","",L84-P84)</f>
        <v/>
      </c>
      <c r="S84" s="9" t="str">
        <f>IF(I84="","",TEXT(I84,"mmm-yyyy"))</f>
        <v/>
      </c>
      <c r="T84" s="9"/>
    </row>
    <row r="85" spans="1:20" x14ac:dyDescent="0.2">
      <c r="A85" s="2"/>
      <c r="B85" s="2"/>
      <c r="C85" s="2"/>
      <c r="D85" s="2"/>
      <c r="E85" s="2"/>
      <c r="F85" s="2" t="str">
        <f>IF(OR(D85="",E85=""),"",D85/E85)</f>
        <v/>
      </c>
      <c r="G85" s="2" t="str">
        <f>IF(D85="","",D85/8)</f>
        <v/>
      </c>
      <c r="I85" s="10"/>
      <c r="J85" s="11"/>
      <c r="K85" s="11"/>
      <c r="L85" s="11"/>
      <c r="M85" s="11"/>
      <c r="N85" s="11" t="str">
        <f>IF(OR(L85="",M85=""),"",L85/M85)</f>
        <v/>
      </c>
      <c r="O85" s="11" t="str">
        <f>IF(L85="","",L85/8)</f>
        <v/>
      </c>
      <c r="P85" s="9" t="str">
        <f>IF(J85="","",8)</f>
        <v/>
      </c>
      <c r="Q85" s="9" t="str">
        <f>IF(OR(L85="",P85=0),"",L85/P85)</f>
        <v/>
      </c>
      <c r="R85" s="9" t="str">
        <f>IF(L85="","",L85-P85)</f>
        <v/>
      </c>
      <c r="S85" s="9" t="str">
        <f>IF(I85="","",TEXT(I85,"mmm-yyyy"))</f>
        <v/>
      </c>
      <c r="T85" s="9"/>
    </row>
    <row r="86" spans="1:20" x14ac:dyDescent="0.2">
      <c r="A86" s="2"/>
      <c r="B86" s="2"/>
      <c r="C86" s="2"/>
      <c r="D86" s="2"/>
      <c r="E86" s="2"/>
      <c r="F86" s="2" t="str">
        <f>IF(OR(D86="",E86=""),"",D86/E86)</f>
        <v/>
      </c>
      <c r="G86" s="2" t="str">
        <f>IF(D86="","",D86/8)</f>
        <v/>
      </c>
      <c r="I86" s="10"/>
      <c r="J86" s="11"/>
      <c r="K86" s="11"/>
      <c r="L86" s="11"/>
      <c r="M86" s="11"/>
      <c r="N86" s="11" t="str">
        <f>IF(OR(L86="",M86=""),"",L86/M86)</f>
        <v/>
      </c>
      <c r="O86" s="11" t="str">
        <f>IF(L86="","",L86/8)</f>
        <v/>
      </c>
      <c r="P86" s="9" t="str">
        <f>IF(J86="","",8)</f>
        <v/>
      </c>
      <c r="Q86" s="9" t="str">
        <f>IF(OR(L86="",P86=0),"",L86/P86)</f>
        <v/>
      </c>
      <c r="R86" s="9" t="str">
        <f>IF(L86="","",L86-P86)</f>
        <v/>
      </c>
      <c r="S86" s="9" t="str">
        <f>IF(I86="","",TEXT(I86,"mmm-yyyy"))</f>
        <v/>
      </c>
      <c r="T86" s="9"/>
    </row>
    <row r="87" spans="1:20" x14ac:dyDescent="0.2">
      <c r="A87" s="2"/>
      <c r="B87" s="2"/>
      <c r="C87" s="2"/>
      <c r="D87" s="2"/>
      <c r="E87" s="2"/>
      <c r="F87" s="2" t="str">
        <f>IF(OR(D87="",E87=""),"",D87/E87)</f>
        <v/>
      </c>
      <c r="G87" s="2" t="str">
        <f>IF(D87="","",D87/8)</f>
        <v/>
      </c>
      <c r="I87" s="10"/>
      <c r="J87" s="11"/>
      <c r="K87" s="11"/>
      <c r="L87" s="11"/>
      <c r="M87" s="11"/>
      <c r="N87" s="11" t="str">
        <f>IF(OR(L87="",M87=""),"",L87/M87)</f>
        <v/>
      </c>
      <c r="O87" s="11" t="str">
        <f>IF(L87="","",L87/8)</f>
        <v/>
      </c>
      <c r="P87" s="9" t="str">
        <f>IF(J87="","",8)</f>
        <v/>
      </c>
      <c r="Q87" s="9" t="str">
        <f>IF(OR(L87="",P87=0),"",L87/P87)</f>
        <v/>
      </c>
      <c r="R87" s="9" t="str">
        <f>IF(L87="","",L87-P87)</f>
        <v/>
      </c>
      <c r="S87" s="9" t="str">
        <f>IF(I87="","",TEXT(I87,"mmm-yyyy"))</f>
        <v/>
      </c>
      <c r="T87" s="9"/>
    </row>
    <row r="88" spans="1:20" x14ac:dyDescent="0.2">
      <c r="A88" s="2"/>
      <c r="B88" s="2"/>
      <c r="C88" s="2"/>
      <c r="D88" s="2"/>
      <c r="E88" s="2"/>
      <c r="F88" s="2" t="str">
        <f>IF(OR(D88="",E88=""),"",D88/E88)</f>
        <v/>
      </c>
      <c r="G88" s="2" t="str">
        <f>IF(D88="","",D88/8)</f>
        <v/>
      </c>
      <c r="I88" s="10"/>
      <c r="J88" s="11"/>
      <c r="K88" s="11"/>
      <c r="L88" s="11"/>
      <c r="M88" s="11"/>
      <c r="N88" s="11" t="str">
        <f>IF(OR(L88="",M88=""),"",L88/M88)</f>
        <v/>
      </c>
      <c r="O88" s="11" t="str">
        <f>IF(L88="","",L88/8)</f>
        <v/>
      </c>
      <c r="P88" s="9" t="str">
        <f>IF(J88="","",8)</f>
        <v/>
      </c>
      <c r="Q88" s="9" t="str">
        <f>IF(OR(L88="",P88=0),"",L88/P88)</f>
        <v/>
      </c>
      <c r="R88" s="9" t="str">
        <f>IF(L88="","",L88-P88)</f>
        <v/>
      </c>
      <c r="S88" s="9" t="str">
        <f>IF(I88="","",TEXT(I88,"mmm-yyyy"))</f>
        <v/>
      </c>
      <c r="T88" s="9"/>
    </row>
    <row r="89" spans="1:20" x14ac:dyDescent="0.2">
      <c r="A89" s="2"/>
      <c r="B89" s="2"/>
      <c r="C89" s="2"/>
      <c r="D89" s="2"/>
      <c r="E89" s="2"/>
      <c r="F89" s="2" t="str">
        <f>IF(OR(D89="",E89=""),"",D89/E89)</f>
        <v/>
      </c>
      <c r="G89" s="2" t="str">
        <f>IF(D89="","",D89/8)</f>
        <v/>
      </c>
      <c r="I89" s="10"/>
      <c r="J89" s="11"/>
      <c r="K89" s="11"/>
      <c r="L89" s="11"/>
      <c r="M89" s="11"/>
      <c r="N89" s="11" t="str">
        <f>IF(OR(L89="",M89=""),"",L89/M89)</f>
        <v/>
      </c>
      <c r="O89" s="11" t="str">
        <f>IF(L89="","",L89/8)</f>
        <v/>
      </c>
      <c r="P89" s="9" t="str">
        <f>IF(J89="","",8)</f>
        <v/>
      </c>
      <c r="Q89" s="9" t="str">
        <f>IF(OR(L89="",P89=0),"",L89/P89)</f>
        <v/>
      </c>
      <c r="R89" s="9" t="str">
        <f>IF(L89="","",L89-P89)</f>
        <v/>
      </c>
      <c r="S89" s="9" t="str">
        <f>IF(I89="","",TEXT(I89,"mmm-yyyy"))</f>
        <v/>
      </c>
      <c r="T89" s="9"/>
    </row>
    <row r="90" spans="1:20" x14ac:dyDescent="0.2">
      <c r="A90" s="2"/>
      <c r="B90" s="2"/>
      <c r="C90" s="2"/>
      <c r="D90" s="2"/>
      <c r="E90" s="2"/>
      <c r="F90" s="2" t="str">
        <f>IF(OR(D90="",E90=""),"",D90/E90)</f>
        <v/>
      </c>
      <c r="G90" s="2" t="str">
        <f>IF(D90="","",D90/8)</f>
        <v/>
      </c>
      <c r="I90" s="10"/>
      <c r="J90" s="11"/>
      <c r="K90" s="11"/>
      <c r="L90" s="11"/>
      <c r="M90" s="11"/>
      <c r="N90" s="11" t="str">
        <f>IF(OR(L90="",M90=""),"",L90/M90)</f>
        <v/>
      </c>
      <c r="O90" s="11" t="str">
        <f>IF(L90="","",L90/8)</f>
        <v/>
      </c>
      <c r="P90" s="9" t="str">
        <f>IF(J90="","",8)</f>
        <v/>
      </c>
      <c r="Q90" s="9" t="str">
        <f>IF(OR(L90="",P90=0),"",L90/P90)</f>
        <v/>
      </c>
      <c r="R90" s="9" t="str">
        <f>IF(L90="","",L90-P90)</f>
        <v/>
      </c>
      <c r="S90" s="9" t="str">
        <f>IF(I90="","",TEXT(I90,"mmm-yyyy"))</f>
        <v/>
      </c>
      <c r="T90" s="9"/>
    </row>
    <row r="91" spans="1:20" x14ac:dyDescent="0.2">
      <c r="A91" s="2"/>
      <c r="B91" s="2"/>
      <c r="C91" s="2"/>
      <c r="D91" s="2"/>
      <c r="E91" s="2"/>
      <c r="F91" s="2" t="str">
        <f>IF(OR(D91="",E91=""),"",D91/E91)</f>
        <v/>
      </c>
      <c r="G91" s="2" t="str">
        <f>IF(D91="","",D91/8)</f>
        <v/>
      </c>
      <c r="I91" s="10"/>
      <c r="J91" s="11"/>
      <c r="K91" s="11"/>
      <c r="L91" s="11"/>
      <c r="M91" s="11"/>
      <c r="N91" s="11" t="str">
        <f>IF(OR(L91="",M91=""),"",L91/M91)</f>
        <v/>
      </c>
      <c r="O91" s="11" t="str">
        <f>IF(L91="","",L91/8)</f>
        <v/>
      </c>
      <c r="P91" s="9" t="str">
        <f>IF(J91="","",8)</f>
        <v/>
      </c>
      <c r="Q91" s="9" t="str">
        <f>IF(OR(L91="",P91=0),"",L91/P91)</f>
        <v/>
      </c>
      <c r="R91" s="9" t="str">
        <f>IF(L91="","",L91-P91)</f>
        <v/>
      </c>
      <c r="S91" s="9" t="str">
        <f>IF(I91="","",TEXT(I91,"mmm-yyyy"))</f>
        <v/>
      </c>
      <c r="T91" s="9"/>
    </row>
    <row r="92" spans="1:20" x14ac:dyDescent="0.2">
      <c r="A92" s="2"/>
      <c r="B92" s="2"/>
      <c r="C92" s="2"/>
      <c r="D92" s="2"/>
      <c r="E92" s="2"/>
      <c r="F92" s="2" t="str">
        <f>IF(OR(D92="",E92=""),"",D92/E92)</f>
        <v/>
      </c>
      <c r="G92" s="2" t="str">
        <f>IF(D92="","",D92/8)</f>
        <v/>
      </c>
      <c r="I92" s="10"/>
      <c r="J92" s="11"/>
      <c r="K92" s="11"/>
      <c r="L92" s="11"/>
      <c r="M92" s="11"/>
      <c r="N92" s="11" t="str">
        <f>IF(OR(L92="",M92=""),"",L92/M92)</f>
        <v/>
      </c>
      <c r="O92" s="11" t="str">
        <f>IF(L92="","",L92/8)</f>
        <v/>
      </c>
      <c r="P92" s="9" t="str">
        <f>IF(J92="","",8)</f>
        <v/>
      </c>
      <c r="Q92" s="9" t="str">
        <f>IF(OR(L92="",P92=0),"",L92/P92)</f>
        <v/>
      </c>
      <c r="R92" s="9" t="str">
        <f>IF(L92="","",L92-P92)</f>
        <v/>
      </c>
      <c r="S92" s="9" t="str">
        <f>IF(I92="","",TEXT(I92,"mmm-yyyy"))</f>
        <v/>
      </c>
      <c r="T92" s="9"/>
    </row>
    <row r="93" spans="1:20" x14ac:dyDescent="0.2">
      <c r="A93" s="2"/>
      <c r="B93" s="2"/>
      <c r="C93" s="2"/>
      <c r="D93" s="2"/>
      <c r="E93" s="2"/>
      <c r="F93" s="2" t="str">
        <f>IF(OR(D93="",E93=""),"",D93/E93)</f>
        <v/>
      </c>
      <c r="G93" s="2" t="str">
        <f>IF(D93="","",D93/8)</f>
        <v/>
      </c>
      <c r="I93" s="10"/>
      <c r="J93" s="11"/>
      <c r="K93" s="11"/>
      <c r="L93" s="11"/>
      <c r="M93" s="11"/>
      <c r="N93" s="11" t="str">
        <f>IF(OR(L93="",M93=""),"",L93/M93)</f>
        <v/>
      </c>
      <c r="O93" s="11" t="str">
        <f>IF(L93="","",L93/8)</f>
        <v/>
      </c>
      <c r="P93" s="9" t="str">
        <f>IF(J93="","",8)</f>
        <v/>
      </c>
      <c r="Q93" s="9" t="str">
        <f>IF(OR(L93="",P93=0),"",L93/P93)</f>
        <v/>
      </c>
      <c r="R93" s="9" t="str">
        <f>IF(L93="","",L93-P93)</f>
        <v/>
      </c>
      <c r="S93" s="9" t="str">
        <f>IF(I93="","",TEXT(I93,"mmm-yyyy"))</f>
        <v/>
      </c>
      <c r="T93" s="9"/>
    </row>
    <row r="94" spans="1:20" x14ac:dyDescent="0.2">
      <c r="A94" s="2"/>
      <c r="B94" s="2"/>
      <c r="C94" s="2"/>
      <c r="D94" s="2"/>
      <c r="E94" s="2"/>
      <c r="F94" s="2" t="str">
        <f>IF(OR(D94="",E94=""),"",D94/E94)</f>
        <v/>
      </c>
      <c r="G94" s="2" t="str">
        <f>IF(D94="","",D94/8)</f>
        <v/>
      </c>
      <c r="I94" s="10"/>
      <c r="J94" s="11"/>
      <c r="K94" s="11"/>
      <c r="L94" s="11"/>
      <c r="M94" s="11"/>
      <c r="N94" s="11" t="str">
        <f>IF(OR(L94="",M94=""),"",L94/M94)</f>
        <v/>
      </c>
      <c r="O94" s="11" t="str">
        <f>IF(L94="","",L94/8)</f>
        <v/>
      </c>
      <c r="P94" s="9" t="str">
        <f>IF(J94="","",8)</f>
        <v/>
      </c>
      <c r="Q94" s="9" t="str">
        <f>IF(OR(L94="",P94=0),"",L94/P94)</f>
        <v/>
      </c>
      <c r="R94" s="9" t="str">
        <f>IF(L94="","",L94-P94)</f>
        <v/>
      </c>
      <c r="S94" s="9" t="str">
        <f>IF(I94="","",TEXT(I94,"mmm-yyyy"))</f>
        <v/>
      </c>
      <c r="T94" s="9"/>
    </row>
    <row r="95" spans="1:20" x14ac:dyDescent="0.2">
      <c r="A95" s="2"/>
      <c r="B95" s="2"/>
      <c r="C95" s="2"/>
      <c r="D95" s="2"/>
      <c r="E95" s="2"/>
      <c r="F95" s="2" t="str">
        <f>IF(OR(D95="",E95=""),"",D95/E95)</f>
        <v/>
      </c>
      <c r="G95" s="2" t="str">
        <f>IF(D95="","",D95/8)</f>
        <v/>
      </c>
      <c r="I95" s="10"/>
      <c r="J95" s="11"/>
      <c r="K95" s="11"/>
      <c r="L95" s="11"/>
      <c r="M95" s="11"/>
      <c r="N95" s="11" t="str">
        <f>IF(OR(L95="",M95=""),"",L95/M95)</f>
        <v/>
      </c>
      <c r="O95" s="11" t="str">
        <f>IF(L95="","",L95/8)</f>
        <v/>
      </c>
      <c r="P95" s="9" t="str">
        <f>IF(J95="","",8)</f>
        <v/>
      </c>
      <c r="Q95" s="9" t="str">
        <f>IF(OR(L95="",P95=0),"",L95/P95)</f>
        <v/>
      </c>
      <c r="R95" s="9" t="str">
        <f>IF(L95="","",L95-P95)</f>
        <v/>
      </c>
      <c r="S95" s="9" t="str">
        <f>IF(I95="","",TEXT(I95,"mmm-yyyy"))</f>
        <v/>
      </c>
      <c r="T95" s="9"/>
    </row>
    <row r="96" spans="1:20" x14ac:dyDescent="0.2">
      <c r="A96" s="2"/>
      <c r="B96" s="2"/>
      <c r="C96" s="2"/>
      <c r="D96" s="2"/>
      <c r="E96" s="2"/>
      <c r="F96" s="2" t="str">
        <f>IF(OR(D96="",E96=""),"",D96/E96)</f>
        <v/>
      </c>
      <c r="G96" s="2" t="str">
        <f>IF(D96="","",D96/8)</f>
        <v/>
      </c>
      <c r="I96" s="10"/>
      <c r="J96" s="11"/>
      <c r="K96" s="11"/>
      <c r="L96" s="11"/>
      <c r="M96" s="11"/>
      <c r="N96" s="11" t="str">
        <f>IF(OR(L96="",M96=""),"",L96/M96)</f>
        <v/>
      </c>
      <c r="O96" s="11" t="str">
        <f>IF(L96="","",L96/8)</f>
        <v/>
      </c>
      <c r="P96" s="9" t="str">
        <f>IF(J96="","",8)</f>
        <v/>
      </c>
      <c r="Q96" s="9" t="str">
        <f>IF(OR(L96="",P96=0),"",L96/P96)</f>
        <v/>
      </c>
      <c r="R96" s="9" t="str">
        <f>IF(L96="","",L96-P96)</f>
        <v/>
      </c>
      <c r="S96" s="9" t="str">
        <f>IF(I96="","",TEXT(I96,"mmm-yyyy"))</f>
        <v/>
      </c>
      <c r="T96" s="9"/>
    </row>
    <row r="97" spans="1:20" x14ac:dyDescent="0.2">
      <c r="A97" s="2"/>
      <c r="B97" s="2"/>
      <c r="C97" s="2"/>
      <c r="D97" s="2"/>
      <c r="E97" s="2"/>
      <c r="F97" s="2" t="str">
        <f>IF(OR(D97="",E97=""),"",D97/E97)</f>
        <v/>
      </c>
      <c r="G97" s="2" t="str">
        <f>IF(D97="","",D97/8)</f>
        <v/>
      </c>
      <c r="I97" s="10"/>
      <c r="J97" s="11"/>
      <c r="K97" s="11"/>
      <c r="L97" s="11"/>
      <c r="M97" s="11"/>
      <c r="N97" s="11" t="str">
        <f>IF(OR(L97="",M97=""),"",L97/M97)</f>
        <v/>
      </c>
      <c r="O97" s="11" t="str">
        <f>IF(L97="","",L97/8)</f>
        <v/>
      </c>
      <c r="P97" s="9" t="str">
        <f>IF(J97="","",8)</f>
        <v/>
      </c>
      <c r="Q97" s="9" t="str">
        <f>IF(OR(L97="",P97=0),"",L97/P97)</f>
        <v/>
      </c>
      <c r="R97" s="9" t="str">
        <f>IF(L97="","",L97-P97)</f>
        <v/>
      </c>
      <c r="S97" s="9" t="str">
        <f>IF(I97="","",TEXT(I97,"mmm-yyyy"))</f>
        <v/>
      </c>
      <c r="T97" s="9"/>
    </row>
    <row r="98" spans="1:20" x14ac:dyDescent="0.2">
      <c r="A98" s="2"/>
      <c r="B98" s="2"/>
      <c r="C98" s="2"/>
      <c r="D98" s="2"/>
      <c r="E98" s="2"/>
      <c r="F98" s="2" t="str">
        <f>IF(OR(D98="",E98=""),"",D98/E98)</f>
        <v/>
      </c>
      <c r="G98" s="2" t="str">
        <f>IF(D98="","",D98/8)</f>
        <v/>
      </c>
      <c r="I98" s="10"/>
      <c r="J98" s="11"/>
      <c r="K98" s="11"/>
      <c r="L98" s="11"/>
      <c r="M98" s="11"/>
      <c r="N98" s="11" t="str">
        <f>IF(OR(L98="",M98=""),"",L98/M98)</f>
        <v/>
      </c>
      <c r="O98" s="11" t="str">
        <f>IF(L98="","",L98/8)</f>
        <v/>
      </c>
      <c r="P98" s="9" t="str">
        <f>IF(J98="","",8)</f>
        <v/>
      </c>
      <c r="Q98" s="9" t="str">
        <f>IF(OR(L98="",P98=0),"",L98/P98)</f>
        <v/>
      </c>
      <c r="R98" s="9" t="str">
        <f>IF(L98="","",L98-P98)</f>
        <v/>
      </c>
      <c r="S98" s="9" t="str">
        <f>IF(I98="","",TEXT(I98,"mmm-yyyy"))</f>
        <v/>
      </c>
      <c r="T98" s="9"/>
    </row>
    <row r="99" spans="1:20" x14ac:dyDescent="0.2">
      <c r="A99" s="2"/>
      <c r="B99" s="2"/>
      <c r="C99" s="2"/>
      <c r="D99" s="2"/>
      <c r="E99" s="2"/>
      <c r="F99" s="2" t="str">
        <f>IF(OR(D99="",E99=""),"",D99/E99)</f>
        <v/>
      </c>
      <c r="G99" s="2" t="str">
        <f>IF(D99="","",D99/8)</f>
        <v/>
      </c>
      <c r="I99" s="10"/>
      <c r="J99" s="11"/>
      <c r="K99" s="11"/>
      <c r="L99" s="11"/>
      <c r="M99" s="11"/>
      <c r="N99" s="11" t="str">
        <f>IF(OR(L99="",M99=""),"",L99/M99)</f>
        <v/>
      </c>
      <c r="O99" s="11" t="str">
        <f>IF(L99="","",L99/8)</f>
        <v/>
      </c>
      <c r="P99" s="9" t="str">
        <f>IF(J99="","",8)</f>
        <v/>
      </c>
      <c r="Q99" s="9" t="str">
        <f>IF(OR(L99="",P99=0),"",L99/P99)</f>
        <v/>
      </c>
      <c r="R99" s="9" t="str">
        <f>IF(L99="","",L99-P99)</f>
        <v/>
      </c>
      <c r="S99" s="9" t="str">
        <f>IF(I99="","",TEXT(I99,"mmm-yyyy"))</f>
        <v/>
      </c>
      <c r="T99" s="9"/>
    </row>
    <row r="100" spans="1:20" x14ac:dyDescent="0.2">
      <c r="A100" s="2"/>
      <c r="B100" s="2"/>
      <c r="C100" s="2"/>
      <c r="D100" s="2"/>
      <c r="E100" s="2"/>
      <c r="F100" s="2" t="str">
        <f>IF(OR(D100="",E100=""),"",D100/E100)</f>
        <v/>
      </c>
      <c r="G100" s="2" t="str">
        <f>IF(D100="","",D100/8)</f>
        <v/>
      </c>
      <c r="I100" s="10"/>
      <c r="J100" s="11"/>
      <c r="K100" s="11"/>
      <c r="L100" s="11"/>
      <c r="M100" s="11"/>
      <c r="N100" s="11" t="str">
        <f>IF(OR(L100="",M100=""),"",L100/M100)</f>
        <v/>
      </c>
      <c r="O100" s="11" t="str">
        <f>IF(L100="","",L100/8)</f>
        <v/>
      </c>
      <c r="P100" s="9" t="str">
        <f>IF(J100="","",8)</f>
        <v/>
      </c>
      <c r="Q100" s="9" t="str">
        <f>IF(OR(L100="",P100=0),"",L100/P100)</f>
        <v/>
      </c>
      <c r="R100" s="9" t="str">
        <f>IF(L100="","",L100-P100)</f>
        <v/>
      </c>
      <c r="S100" s="9" t="str">
        <f>IF(I100="","",TEXT(I100,"mmm-yyyy"))</f>
        <v/>
      </c>
      <c r="T100" s="9"/>
    </row>
    <row r="101" spans="1:20" x14ac:dyDescent="0.2">
      <c r="A101" s="2"/>
      <c r="B101" s="2"/>
      <c r="C101" s="2"/>
      <c r="D101" s="2"/>
      <c r="E101" s="2"/>
      <c r="F101" s="2" t="str">
        <f>IF(OR(D101="",E101=""),"",D101/E101)</f>
        <v/>
      </c>
      <c r="G101" s="2" t="str">
        <f>IF(D101="","",D101/8)</f>
        <v/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1"/>
  <sheetViews>
    <sheetView workbookViewId="0">
      <pane ySplit="1" topLeftCell="A2" activePane="bottomLeft" state="frozen"/>
      <selection pane="bottomLeft" activeCell="F7" sqref="F7"/>
    </sheetView>
  </sheetViews>
  <sheetFormatPr defaultRowHeight="15" x14ac:dyDescent="0.2"/>
  <cols>
    <col min="1" max="1" width="13.98828125" style="17" customWidth="1"/>
    <col min="2" max="2" width="23.9453125" style="17" customWidth="1"/>
    <col min="3" max="3" width="16.0078125" style="17" customWidth="1"/>
    <col min="4" max="4" width="23.9453125" style="17" customWidth="1"/>
    <col min="5" max="5" width="18.0234375" style="17" customWidth="1"/>
    <col min="6" max="6" width="13.98828125" style="17" customWidth="1"/>
    <col min="7" max="7" width="16.0078125" style="17" customWidth="1"/>
    <col min="8" max="8" width="29.99609375" style="17" customWidth="1"/>
  </cols>
  <sheetData>
    <row r="1" spans="1:8" x14ac:dyDescent="0.2">
      <c r="A1" s="16" t="s">
        <v>35</v>
      </c>
      <c r="B1" s="16" t="s">
        <v>68</v>
      </c>
      <c r="C1" s="16" t="s">
        <v>86</v>
      </c>
      <c r="D1" s="16" t="s">
        <v>62</v>
      </c>
      <c r="E1" s="16" t="s">
        <v>87</v>
      </c>
      <c r="F1" s="16" t="s">
        <v>88</v>
      </c>
      <c r="G1" s="16" t="s">
        <v>89</v>
      </c>
      <c r="H1" s="16" t="s">
        <v>90</v>
      </c>
    </row>
    <row r="2" spans="1:8" x14ac:dyDescent="0.2">
      <c r="G2" t="str">
        <f>IF(OR(E2="",F2=""),"",E2*F2)</f>
        <v/>
      </c>
    </row>
    <row r="3" spans="1:8" x14ac:dyDescent="0.2">
      <c r="G3" t="str">
        <f>IF(OR(E3="",F3=""),"",E3*F3)</f>
        <v/>
      </c>
    </row>
    <row r="4" spans="1:8" x14ac:dyDescent="0.2">
      <c r="G4" t="str">
        <f>IF(OR(E4="",F4=""),"",E4*F4)</f>
        <v/>
      </c>
    </row>
    <row r="5" spans="1:8" x14ac:dyDescent="0.2">
      <c r="G5" t="str">
        <f>IF(OR(E5="",F5=""),"",E5*F5)</f>
        <v/>
      </c>
    </row>
    <row r="6" spans="1:8" x14ac:dyDescent="0.2">
      <c r="G6" t="str">
        <f>IF(OR(E6="",F6=""),"",E6*F6)</f>
        <v/>
      </c>
    </row>
    <row r="7" spans="1:8" x14ac:dyDescent="0.2">
      <c r="G7" t="str">
        <f>IF(OR(E7="",F7=""),"",E7*F7)</f>
        <v/>
      </c>
    </row>
    <row r="8" spans="1:8" x14ac:dyDescent="0.2">
      <c r="G8" t="str">
        <f>IF(OR(E8="",F8=""),"",E8*F8)</f>
        <v/>
      </c>
    </row>
    <row r="9" spans="1:8" x14ac:dyDescent="0.2">
      <c r="G9" t="str">
        <f>IF(OR(E9="",F9=""),"",E9*F9)</f>
        <v/>
      </c>
    </row>
    <row r="10" spans="1:8" x14ac:dyDescent="0.2">
      <c r="G10" t="str">
        <f>IF(OR(E10="",F10=""),"",E10*F10)</f>
        <v/>
      </c>
    </row>
    <row r="11" spans="1:8" x14ac:dyDescent="0.2">
      <c r="G11" t="str">
        <f>IF(OR(E11="",F11=""),"",E11*F11)</f>
        <v/>
      </c>
    </row>
    <row r="12" spans="1:8" x14ac:dyDescent="0.2">
      <c r="G12" t="str">
        <f>IF(OR(E12="",F12=""),"",E12*F12)</f>
        <v/>
      </c>
    </row>
    <row r="13" spans="1:8" x14ac:dyDescent="0.2">
      <c r="G13" t="str">
        <f>IF(OR(E13="",F13=""),"",E13*F13)</f>
        <v/>
      </c>
    </row>
    <row r="14" spans="1:8" x14ac:dyDescent="0.2">
      <c r="G14" t="str">
        <f>IF(OR(E14="",F14=""),"",E14*F14)</f>
        <v/>
      </c>
    </row>
    <row r="15" spans="1:8" x14ac:dyDescent="0.2">
      <c r="G15" t="str">
        <f>IF(OR(E15="",F15=""),"",E15*F15)</f>
        <v/>
      </c>
    </row>
    <row r="16" spans="1:8" x14ac:dyDescent="0.2">
      <c r="G16" t="str">
        <f>IF(OR(E16="",F16=""),"",E16*F16)</f>
        <v/>
      </c>
    </row>
    <row r="17" spans="7:7" x14ac:dyDescent="0.2">
      <c r="G17" t="str">
        <f>IF(OR(E17="",F17=""),"",E17*F17)</f>
        <v/>
      </c>
    </row>
    <row r="18" spans="7:7" x14ac:dyDescent="0.2">
      <c r="G18" t="str">
        <f>IF(OR(E18="",F18=""),"",E18*F18)</f>
        <v/>
      </c>
    </row>
    <row r="19" spans="7:7" x14ac:dyDescent="0.2">
      <c r="G19" t="str">
        <f>IF(OR(E19="",F19=""),"",E19*F19)</f>
        <v/>
      </c>
    </row>
    <row r="20" spans="7:7" x14ac:dyDescent="0.2">
      <c r="G20" t="str">
        <f>IF(OR(E20="",F20=""),"",E20*F20)</f>
        <v/>
      </c>
    </row>
    <row r="21" spans="7:7" x14ac:dyDescent="0.2">
      <c r="G21" t="str">
        <f>IF(OR(E21="",F21=""),"",E21*F21)</f>
        <v/>
      </c>
    </row>
    <row r="22" spans="7:7" x14ac:dyDescent="0.2">
      <c r="G22" t="str">
        <f>IF(OR(E22="",F22=""),"",E22*F22)</f>
        <v/>
      </c>
    </row>
    <row r="23" spans="7:7" x14ac:dyDescent="0.2">
      <c r="G23" t="str">
        <f>IF(OR(E23="",F23=""),"",E23*F23)</f>
        <v/>
      </c>
    </row>
    <row r="24" spans="7:7" x14ac:dyDescent="0.2">
      <c r="G24" t="str">
        <f>IF(OR(E24="",F24=""),"",E24*F24)</f>
        <v/>
      </c>
    </row>
    <row r="25" spans="7:7" x14ac:dyDescent="0.2">
      <c r="G25" t="str">
        <f>IF(OR(E25="",F25=""),"",E25*F25)</f>
        <v/>
      </c>
    </row>
    <row r="26" spans="7:7" x14ac:dyDescent="0.2">
      <c r="G26" t="str">
        <f>IF(OR(E26="",F26=""),"",E26*F26)</f>
        <v/>
      </c>
    </row>
    <row r="27" spans="7:7" x14ac:dyDescent="0.2">
      <c r="G27" t="str">
        <f>IF(OR(E27="",F27=""),"",E27*F27)</f>
        <v/>
      </c>
    </row>
    <row r="28" spans="7:7" x14ac:dyDescent="0.2">
      <c r="G28" t="str">
        <f>IF(OR(E28="",F28=""),"",E28*F28)</f>
        <v/>
      </c>
    </row>
    <row r="29" spans="7:7" x14ac:dyDescent="0.2">
      <c r="G29" t="str">
        <f>IF(OR(E29="",F29=""),"",E29*F29)</f>
        <v/>
      </c>
    </row>
    <row r="30" spans="7:7" x14ac:dyDescent="0.2">
      <c r="G30" t="str">
        <f>IF(OR(E30="",F30=""),"",E30*F30)</f>
        <v/>
      </c>
    </row>
    <row r="31" spans="7:7" x14ac:dyDescent="0.2">
      <c r="G31" t="str">
        <f>IF(OR(E31="",F31=""),"",E31*F31)</f>
        <v/>
      </c>
    </row>
    <row r="32" spans="7:7" x14ac:dyDescent="0.2">
      <c r="G32" t="str">
        <f>IF(OR(E32="",F32=""),"",E32*F32)</f>
        <v/>
      </c>
    </row>
    <row r="33" spans="7:7" x14ac:dyDescent="0.2">
      <c r="G33" t="str">
        <f>IF(OR(E33="",F33=""),"",E33*F33)</f>
        <v/>
      </c>
    </row>
    <row r="34" spans="7:7" x14ac:dyDescent="0.2">
      <c r="G34" t="str">
        <f>IF(OR(E34="",F34=""),"",E34*F34)</f>
        <v/>
      </c>
    </row>
    <row r="35" spans="7:7" x14ac:dyDescent="0.2">
      <c r="G35" t="str">
        <f>IF(OR(E35="",F35=""),"",E35*F35)</f>
        <v/>
      </c>
    </row>
    <row r="36" spans="7:7" x14ac:dyDescent="0.2">
      <c r="G36" t="str">
        <f>IF(OR(E36="",F36=""),"",E36*F36)</f>
        <v/>
      </c>
    </row>
    <row r="37" spans="7:7" x14ac:dyDescent="0.2">
      <c r="G37" t="str">
        <f>IF(OR(E37="",F37=""),"",E37*F37)</f>
        <v/>
      </c>
    </row>
    <row r="38" spans="7:7" x14ac:dyDescent="0.2">
      <c r="G38" t="str">
        <f>IF(OR(E38="",F38=""),"",E38*F38)</f>
        <v/>
      </c>
    </row>
    <row r="39" spans="7:7" x14ac:dyDescent="0.2">
      <c r="G39" t="str">
        <f>IF(OR(E39="",F39=""),"",E39*F39)</f>
        <v/>
      </c>
    </row>
    <row r="40" spans="7:7" x14ac:dyDescent="0.2">
      <c r="G40" t="str">
        <f>IF(OR(E40="",F40=""),"",E40*F40)</f>
        <v/>
      </c>
    </row>
    <row r="41" spans="7:7" x14ac:dyDescent="0.2">
      <c r="G41" t="str">
        <f>IF(OR(E41="",F41=""),"",E41*F41)</f>
        <v/>
      </c>
    </row>
    <row r="42" spans="7:7" x14ac:dyDescent="0.2">
      <c r="G42" t="str">
        <f>IF(OR(E42="",F42=""),"",E42*F42)</f>
        <v/>
      </c>
    </row>
    <row r="43" spans="7:7" x14ac:dyDescent="0.2">
      <c r="G43" t="str">
        <f>IF(OR(E43="",F43=""),"",E43*F43)</f>
        <v/>
      </c>
    </row>
    <row r="44" spans="7:7" x14ac:dyDescent="0.2">
      <c r="G44" t="str">
        <f>IF(OR(E44="",F44=""),"",E44*F44)</f>
        <v/>
      </c>
    </row>
    <row r="45" spans="7:7" x14ac:dyDescent="0.2">
      <c r="G45" t="str">
        <f>IF(OR(E45="",F45=""),"",E45*F45)</f>
        <v/>
      </c>
    </row>
    <row r="46" spans="7:7" x14ac:dyDescent="0.2">
      <c r="G46" t="str">
        <f>IF(OR(E46="",F46=""),"",E46*F46)</f>
        <v/>
      </c>
    </row>
    <row r="47" spans="7:7" x14ac:dyDescent="0.2">
      <c r="G47" t="str">
        <f>IF(OR(E47="",F47=""),"",E47*F47)</f>
        <v/>
      </c>
    </row>
    <row r="48" spans="7:7" x14ac:dyDescent="0.2">
      <c r="G48" t="str">
        <f>IF(OR(E48="",F48=""),"",E48*F48)</f>
        <v/>
      </c>
    </row>
    <row r="49" spans="7:7" x14ac:dyDescent="0.2">
      <c r="G49" t="str">
        <f>IF(OR(E49="",F49=""),"",E49*F49)</f>
        <v/>
      </c>
    </row>
    <row r="50" spans="7:7" x14ac:dyDescent="0.2">
      <c r="G50" t="str">
        <f>IF(OR(E50="",F50=""),"",E50*F50)</f>
        <v/>
      </c>
    </row>
    <row r="51" spans="7:7" x14ac:dyDescent="0.2">
      <c r="G51" t="str">
        <f>IF(OR(E51="",F51=""),"",E51*F51)</f>
        <v/>
      </c>
    </row>
    <row r="52" spans="7:7" x14ac:dyDescent="0.2">
      <c r="G52" t="str">
        <f>IF(OR(E52="",F52=""),"",E52*F52)</f>
        <v/>
      </c>
    </row>
    <row r="53" spans="7:7" x14ac:dyDescent="0.2">
      <c r="G53" t="str">
        <f>IF(OR(E53="",F53=""),"",E53*F53)</f>
        <v/>
      </c>
    </row>
    <row r="54" spans="7:7" x14ac:dyDescent="0.2">
      <c r="G54" t="str">
        <f>IF(OR(E54="",F54=""),"",E54*F54)</f>
        <v/>
      </c>
    </row>
    <row r="55" spans="7:7" x14ac:dyDescent="0.2">
      <c r="G55" t="str">
        <f>IF(OR(E55="",F55=""),"",E55*F55)</f>
        <v/>
      </c>
    </row>
    <row r="56" spans="7:7" x14ac:dyDescent="0.2">
      <c r="G56" t="str">
        <f>IF(OR(E56="",F56=""),"",E56*F56)</f>
        <v/>
      </c>
    </row>
    <row r="57" spans="7:7" x14ac:dyDescent="0.2">
      <c r="G57" t="str">
        <f>IF(OR(E57="",F57=""),"",E57*F57)</f>
        <v/>
      </c>
    </row>
    <row r="58" spans="7:7" x14ac:dyDescent="0.2">
      <c r="G58" t="str">
        <f>IF(OR(E58="",F58=""),"",E58*F58)</f>
        <v/>
      </c>
    </row>
    <row r="59" spans="7:7" x14ac:dyDescent="0.2">
      <c r="G59" t="str">
        <f>IF(OR(E59="",F59=""),"",E59*F59)</f>
        <v/>
      </c>
    </row>
    <row r="60" spans="7:7" x14ac:dyDescent="0.2">
      <c r="G60" t="str">
        <f>IF(OR(E60="",F60=""),"",E60*F60)</f>
        <v/>
      </c>
    </row>
    <row r="61" spans="7:7" x14ac:dyDescent="0.2">
      <c r="G61" t="str">
        <f>IF(OR(E61="",F61=""),"",E61*F61)</f>
        <v/>
      </c>
    </row>
    <row r="62" spans="7:7" x14ac:dyDescent="0.2">
      <c r="G62" t="str">
        <f>IF(OR(E62="",F62=""),"",E62*F62)</f>
        <v/>
      </c>
    </row>
    <row r="63" spans="7:7" x14ac:dyDescent="0.2">
      <c r="G63" t="str">
        <f>IF(OR(E63="",F63=""),"",E63*F63)</f>
        <v/>
      </c>
    </row>
    <row r="64" spans="7:7" x14ac:dyDescent="0.2">
      <c r="G64" t="str">
        <f>IF(OR(E64="",F64=""),"",E64*F64)</f>
        <v/>
      </c>
    </row>
    <row r="65" spans="7:7" x14ac:dyDescent="0.2">
      <c r="G65" t="str">
        <f>IF(OR(E65="",F65=""),"",E65*F65)</f>
        <v/>
      </c>
    </row>
    <row r="66" spans="7:7" x14ac:dyDescent="0.2">
      <c r="G66" t="str">
        <f>IF(OR(E66="",F66=""),"",E66*F66)</f>
        <v/>
      </c>
    </row>
    <row r="67" spans="7:7" x14ac:dyDescent="0.2">
      <c r="G67" t="str">
        <f>IF(OR(E67="",F67=""),"",E67*F67)</f>
        <v/>
      </c>
    </row>
    <row r="68" spans="7:7" x14ac:dyDescent="0.2">
      <c r="G68" t="str">
        <f>IF(OR(E68="",F68=""),"",E68*F68)</f>
        <v/>
      </c>
    </row>
    <row r="69" spans="7:7" x14ac:dyDescent="0.2">
      <c r="G69" t="str">
        <f>IF(OR(E69="",F69=""),"",E69*F69)</f>
        <v/>
      </c>
    </row>
    <row r="70" spans="7:7" x14ac:dyDescent="0.2">
      <c r="G70" t="str">
        <f>IF(OR(E70="",F70=""),"",E70*F70)</f>
        <v/>
      </c>
    </row>
    <row r="71" spans="7:7" x14ac:dyDescent="0.2">
      <c r="G71" t="str">
        <f>IF(OR(E71="",F71=""),"",E71*F71)</f>
        <v/>
      </c>
    </row>
    <row r="72" spans="7:7" x14ac:dyDescent="0.2">
      <c r="G72" t="str">
        <f>IF(OR(E72="",F72=""),"",E72*F72)</f>
        <v/>
      </c>
    </row>
    <row r="73" spans="7:7" x14ac:dyDescent="0.2">
      <c r="G73" t="str">
        <f>IF(OR(E73="",F73=""),"",E73*F73)</f>
        <v/>
      </c>
    </row>
    <row r="74" spans="7:7" x14ac:dyDescent="0.2">
      <c r="G74" t="str">
        <f>IF(OR(E74="",F74=""),"",E74*F74)</f>
        <v/>
      </c>
    </row>
    <row r="75" spans="7:7" x14ac:dyDescent="0.2">
      <c r="G75" t="str">
        <f>IF(OR(E75="",F75=""),"",E75*F75)</f>
        <v/>
      </c>
    </row>
    <row r="76" spans="7:7" x14ac:dyDescent="0.2">
      <c r="G76" t="str">
        <f>IF(OR(E76="",F76=""),"",E76*F76)</f>
        <v/>
      </c>
    </row>
    <row r="77" spans="7:7" x14ac:dyDescent="0.2">
      <c r="G77" t="str">
        <f>IF(OR(E77="",F77=""),"",E77*F77)</f>
        <v/>
      </c>
    </row>
    <row r="78" spans="7:7" x14ac:dyDescent="0.2">
      <c r="G78" t="str">
        <f>IF(OR(E78="",F78=""),"",E78*F78)</f>
        <v/>
      </c>
    </row>
    <row r="79" spans="7:7" x14ac:dyDescent="0.2">
      <c r="G79" t="str">
        <f>IF(OR(E79="",F79=""),"",E79*F79)</f>
        <v/>
      </c>
    </row>
    <row r="80" spans="7:7" x14ac:dyDescent="0.2">
      <c r="G80" t="str">
        <f>IF(OR(E80="",F80=""),"",E80*F80)</f>
        <v/>
      </c>
    </row>
    <row r="81" spans="7:7" x14ac:dyDescent="0.2">
      <c r="G81" t="str">
        <f>IF(OR(E81="",F81=""),"",E81*F81)</f>
        <v/>
      </c>
    </row>
    <row r="82" spans="7:7" x14ac:dyDescent="0.2">
      <c r="G82" t="str">
        <f>IF(OR(E82="",F82=""),"",E82*F82)</f>
        <v/>
      </c>
    </row>
    <row r="83" spans="7:7" x14ac:dyDescent="0.2">
      <c r="G83" t="str">
        <f>IF(OR(E83="",F83=""),"",E83*F83)</f>
        <v/>
      </c>
    </row>
    <row r="84" spans="7:7" x14ac:dyDescent="0.2">
      <c r="G84" t="str">
        <f>IF(OR(E84="",F84=""),"",E84*F84)</f>
        <v/>
      </c>
    </row>
    <row r="85" spans="7:7" x14ac:dyDescent="0.2">
      <c r="G85" t="str">
        <f>IF(OR(E85="",F85=""),"",E85*F85)</f>
        <v/>
      </c>
    </row>
    <row r="86" spans="7:7" x14ac:dyDescent="0.2">
      <c r="G86" t="str">
        <f>IF(OR(E86="",F86=""),"",E86*F86)</f>
        <v/>
      </c>
    </row>
    <row r="87" spans="7:7" x14ac:dyDescent="0.2">
      <c r="G87" t="str">
        <f>IF(OR(E87="",F87=""),"",E87*F87)</f>
        <v/>
      </c>
    </row>
    <row r="88" spans="7:7" x14ac:dyDescent="0.2">
      <c r="G88" t="str">
        <f>IF(OR(E88="",F88=""),"",E88*F88)</f>
        <v/>
      </c>
    </row>
    <row r="89" spans="7:7" x14ac:dyDescent="0.2">
      <c r="G89" t="str">
        <f>IF(OR(E89="",F89=""),"",E89*F89)</f>
        <v/>
      </c>
    </row>
    <row r="90" spans="7:7" x14ac:dyDescent="0.2">
      <c r="G90" t="str">
        <f>IF(OR(E90="",F90=""),"",E90*F90)</f>
        <v/>
      </c>
    </row>
    <row r="91" spans="7:7" x14ac:dyDescent="0.2">
      <c r="G91" t="str">
        <f>IF(OR(E91="",F91=""),"",E91*F91)</f>
        <v/>
      </c>
    </row>
    <row r="92" spans="7:7" x14ac:dyDescent="0.2">
      <c r="G92" t="str">
        <f>IF(OR(E92="",F92=""),"",E92*F92)</f>
        <v/>
      </c>
    </row>
    <row r="93" spans="7:7" x14ac:dyDescent="0.2">
      <c r="G93" t="str">
        <f>IF(OR(E93="",F93=""),"",E93*F93)</f>
        <v/>
      </c>
    </row>
    <row r="94" spans="7:7" x14ac:dyDescent="0.2">
      <c r="G94" t="str">
        <f>IF(OR(E94="",F94=""),"",E94*F94)</f>
        <v/>
      </c>
    </row>
    <row r="95" spans="7:7" x14ac:dyDescent="0.2">
      <c r="G95" t="str">
        <f>IF(OR(E95="",F95=""),"",E95*F95)</f>
        <v/>
      </c>
    </row>
    <row r="96" spans="7:7" x14ac:dyDescent="0.2">
      <c r="G96" t="str">
        <f>IF(OR(E96="",F96=""),"",E96*F96)</f>
        <v/>
      </c>
    </row>
    <row r="97" spans="7:7" x14ac:dyDescent="0.2">
      <c r="G97" t="str">
        <f>IF(OR(E97="",F97=""),"",E97*F97)</f>
        <v/>
      </c>
    </row>
    <row r="98" spans="7:7" x14ac:dyDescent="0.2">
      <c r="G98" t="str">
        <f>IF(OR(E98="",F98=""),"",E98*F98)</f>
        <v/>
      </c>
    </row>
    <row r="99" spans="7:7" x14ac:dyDescent="0.2">
      <c r="G99" t="str">
        <f>IF(OR(E99="",F99=""),"",E99*F99)</f>
        <v/>
      </c>
    </row>
    <row r="100" spans="7:7" x14ac:dyDescent="0.2">
      <c r="G100" t="str">
        <f>IF(OR(E100="",F100=""),"",E100*F100)</f>
        <v/>
      </c>
    </row>
    <row r="101" spans="7:7" x14ac:dyDescent="0.2">
      <c r="G101" t="str">
        <f>IF(OR(E101="",F101=""),"",E101*F101)</f>
        <v/>
      </c>
    </row>
    <row r="102" spans="7:7" x14ac:dyDescent="0.2">
      <c r="G102" t="str">
        <f>IF(OR(E102="",F102=""),"",E102*F102)</f>
        <v/>
      </c>
    </row>
    <row r="103" spans="7:7" x14ac:dyDescent="0.2">
      <c r="G103" t="str">
        <f>IF(OR(E103="",F103=""),"",E103*F103)</f>
        <v/>
      </c>
    </row>
    <row r="104" spans="7:7" x14ac:dyDescent="0.2">
      <c r="G104" t="str">
        <f>IF(OR(E104="",F104=""),"",E104*F104)</f>
        <v/>
      </c>
    </row>
    <row r="105" spans="7:7" x14ac:dyDescent="0.2">
      <c r="G105" t="str">
        <f>IF(OR(E105="",F105=""),"",E105*F105)</f>
        <v/>
      </c>
    </row>
    <row r="106" spans="7:7" x14ac:dyDescent="0.2">
      <c r="G106" t="str">
        <f>IF(OR(E106="",F106=""),"",E106*F106)</f>
        <v/>
      </c>
    </row>
    <row r="107" spans="7:7" x14ac:dyDescent="0.2">
      <c r="G107" t="str">
        <f>IF(OR(E107="",F107=""),"",E107*F107)</f>
        <v/>
      </c>
    </row>
    <row r="108" spans="7:7" x14ac:dyDescent="0.2">
      <c r="G108" t="str">
        <f>IF(OR(E108="",F108=""),"",E108*F108)</f>
        <v/>
      </c>
    </row>
    <row r="109" spans="7:7" x14ac:dyDescent="0.2">
      <c r="G109" t="str">
        <f>IF(OR(E109="",F109=""),"",E109*F109)</f>
        <v/>
      </c>
    </row>
    <row r="110" spans="7:7" x14ac:dyDescent="0.2">
      <c r="G110" t="str">
        <f>IF(OR(E110="",F110=""),"",E110*F110)</f>
        <v/>
      </c>
    </row>
    <row r="111" spans="7:7" x14ac:dyDescent="0.2">
      <c r="G111" t="str">
        <f>IF(OR(E111="",F111=""),"",E111*F111)</f>
        <v/>
      </c>
    </row>
    <row r="112" spans="7:7" x14ac:dyDescent="0.2">
      <c r="G112" t="str">
        <f>IF(OR(E112="",F112=""),"",E112*F112)</f>
        <v/>
      </c>
    </row>
    <row r="113" spans="7:7" x14ac:dyDescent="0.2">
      <c r="G113" t="str">
        <f>IF(OR(E113="",F113=""),"",E113*F113)</f>
        <v/>
      </c>
    </row>
    <row r="114" spans="7:7" x14ac:dyDescent="0.2">
      <c r="G114" t="str">
        <f>IF(OR(E114="",F114=""),"",E114*F114)</f>
        <v/>
      </c>
    </row>
    <row r="115" spans="7:7" x14ac:dyDescent="0.2">
      <c r="G115" t="str">
        <f>IF(OR(E115="",F115=""),"",E115*F115)</f>
        <v/>
      </c>
    </row>
    <row r="116" spans="7:7" x14ac:dyDescent="0.2">
      <c r="G116" t="str">
        <f>IF(OR(E116="",F116=""),"",E116*F116)</f>
        <v/>
      </c>
    </row>
    <row r="117" spans="7:7" x14ac:dyDescent="0.2">
      <c r="G117" t="str">
        <f>IF(OR(E117="",F117=""),"",E117*F117)</f>
        <v/>
      </c>
    </row>
    <row r="118" spans="7:7" x14ac:dyDescent="0.2">
      <c r="G118" t="str">
        <f>IF(OR(E118="",F118=""),"",E118*F118)</f>
        <v/>
      </c>
    </row>
    <row r="119" spans="7:7" x14ac:dyDescent="0.2">
      <c r="G119" t="str">
        <f>IF(OR(E119="",F119=""),"",E119*F119)</f>
        <v/>
      </c>
    </row>
    <row r="120" spans="7:7" x14ac:dyDescent="0.2">
      <c r="G120" t="str">
        <f>IF(OR(E120="",F120=""),"",E120*F120)</f>
        <v/>
      </c>
    </row>
    <row r="121" spans="7:7" x14ac:dyDescent="0.2">
      <c r="G121" t="str">
        <f>IF(OR(E121="",F121=""),"",E121*F121)</f>
        <v/>
      </c>
    </row>
    <row r="122" spans="7:7" x14ac:dyDescent="0.2">
      <c r="G122" t="str">
        <f>IF(OR(E122="",F122=""),"",E122*F122)</f>
        <v/>
      </c>
    </row>
    <row r="123" spans="7:7" x14ac:dyDescent="0.2">
      <c r="G123" t="str">
        <f>IF(OR(E123="",F123=""),"",E123*F123)</f>
        <v/>
      </c>
    </row>
    <row r="124" spans="7:7" x14ac:dyDescent="0.2">
      <c r="G124" t="str">
        <f>IF(OR(E124="",F124=""),"",E124*F124)</f>
        <v/>
      </c>
    </row>
    <row r="125" spans="7:7" x14ac:dyDescent="0.2">
      <c r="G125" t="str">
        <f>IF(OR(E125="",F125=""),"",E125*F125)</f>
        <v/>
      </c>
    </row>
    <row r="126" spans="7:7" x14ac:dyDescent="0.2">
      <c r="G126" t="str">
        <f>IF(OR(E126="",F126=""),"",E126*F126)</f>
        <v/>
      </c>
    </row>
    <row r="127" spans="7:7" x14ac:dyDescent="0.2">
      <c r="G127" t="str">
        <f>IF(OR(E127="",F127=""),"",E127*F127)</f>
        <v/>
      </c>
    </row>
    <row r="128" spans="7:7" x14ac:dyDescent="0.2">
      <c r="G128" t="str">
        <f>IF(OR(E128="",F128=""),"",E128*F128)</f>
        <v/>
      </c>
    </row>
    <row r="129" spans="7:7" x14ac:dyDescent="0.2">
      <c r="G129" t="str">
        <f>IF(OR(E129="",F129=""),"",E129*F129)</f>
        <v/>
      </c>
    </row>
    <row r="130" spans="7:7" x14ac:dyDescent="0.2">
      <c r="G130" t="str">
        <f>IF(OR(E130="",F130=""),"",E130*F130)</f>
        <v/>
      </c>
    </row>
    <row r="131" spans="7:7" x14ac:dyDescent="0.2">
      <c r="G131" t="str">
        <f>IF(OR(E131="",F131=""),"",E131*F131)</f>
        <v/>
      </c>
    </row>
    <row r="132" spans="7:7" x14ac:dyDescent="0.2">
      <c r="G132" t="str">
        <f>IF(OR(E132="",F132=""),"",E132*F132)</f>
        <v/>
      </c>
    </row>
    <row r="133" spans="7:7" x14ac:dyDescent="0.2">
      <c r="G133" t="str">
        <f>IF(OR(E133="",F133=""),"",E133*F133)</f>
        <v/>
      </c>
    </row>
    <row r="134" spans="7:7" x14ac:dyDescent="0.2">
      <c r="G134" t="str">
        <f>IF(OR(E134="",F134=""),"",E134*F134)</f>
        <v/>
      </c>
    </row>
    <row r="135" spans="7:7" x14ac:dyDescent="0.2">
      <c r="G135" t="str">
        <f>IF(OR(E135="",F135=""),"",E135*F135)</f>
        <v/>
      </c>
    </row>
    <row r="136" spans="7:7" x14ac:dyDescent="0.2">
      <c r="G136" t="str">
        <f>IF(OR(E136="",F136=""),"",E136*F136)</f>
        <v/>
      </c>
    </row>
    <row r="137" spans="7:7" x14ac:dyDescent="0.2">
      <c r="G137" t="str">
        <f>IF(OR(E137="",F137=""),"",E137*F137)</f>
        <v/>
      </c>
    </row>
    <row r="138" spans="7:7" x14ac:dyDescent="0.2">
      <c r="G138" t="str">
        <f>IF(OR(E138="",F138=""),"",E138*F138)</f>
        <v/>
      </c>
    </row>
    <row r="139" spans="7:7" x14ac:dyDescent="0.2">
      <c r="G139" t="str">
        <f>IF(OR(E139="",F139=""),"",E139*F139)</f>
        <v/>
      </c>
    </row>
    <row r="140" spans="7:7" x14ac:dyDescent="0.2">
      <c r="G140" t="str">
        <f>IF(OR(E140="",F140=""),"",E140*F140)</f>
        <v/>
      </c>
    </row>
    <row r="141" spans="7:7" x14ac:dyDescent="0.2">
      <c r="G141" t="str">
        <f>IF(OR(E141="",F141=""),"",E141*F141)</f>
        <v/>
      </c>
    </row>
    <row r="142" spans="7:7" x14ac:dyDescent="0.2">
      <c r="G142" t="str">
        <f>IF(OR(E142="",F142=""),"",E142*F142)</f>
        <v/>
      </c>
    </row>
    <row r="143" spans="7:7" x14ac:dyDescent="0.2">
      <c r="G143" t="str">
        <f>IF(OR(E143="",F143=""),"",E143*F143)</f>
        <v/>
      </c>
    </row>
    <row r="144" spans="7:7" x14ac:dyDescent="0.2">
      <c r="G144" t="str">
        <f>IF(OR(E144="",F144=""),"",E144*F144)</f>
        <v/>
      </c>
    </row>
    <row r="145" spans="7:7" x14ac:dyDescent="0.2">
      <c r="G145" t="str">
        <f>IF(OR(E145="",F145=""),"",E145*F145)</f>
        <v/>
      </c>
    </row>
    <row r="146" spans="7:7" x14ac:dyDescent="0.2">
      <c r="G146" t="str">
        <f>IF(OR(E146="",F146=""),"",E146*F146)</f>
        <v/>
      </c>
    </row>
    <row r="147" spans="7:7" x14ac:dyDescent="0.2">
      <c r="G147" t="str">
        <f>IF(OR(E147="",F147=""),"",E147*F147)</f>
        <v/>
      </c>
    </row>
    <row r="148" spans="7:7" x14ac:dyDescent="0.2">
      <c r="G148" t="str">
        <f>IF(OR(E148="",F148=""),"",E148*F148)</f>
        <v/>
      </c>
    </row>
    <row r="149" spans="7:7" x14ac:dyDescent="0.2">
      <c r="G149" t="str">
        <f>IF(OR(E149="",F149=""),"",E149*F149)</f>
        <v/>
      </c>
    </row>
    <row r="150" spans="7:7" x14ac:dyDescent="0.2">
      <c r="G150" t="str">
        <f>IF(OR(E150="",F150=""),"",E150*F150)</f>
        <v/>
      </c>
    </row>
    <row r="151" spans="7:7" x14ac:dyDescent="0.2">
      <c r="G151" t="str">
        <f>IF(OR(E151="",F151=""),"",E151*F151)</f>
        <v/>
      </c>
    </row>
    <row r="152" spans="7:7" x14ac:dyDescent="0.2">
      <c r="G152" t="str">
        <f>IF(OR(E152="",F152=""),"",E152*F152)</f>
        <v/>
      </c>
    </row>
    <row r="153" spans="7:7" x14ac:dyDescent="0.2">
      <c r="G153" t="str">
        <f>IF(OR(E153="",F153=""),"",E153*F153)</f>
        <v/>
      </c>
    </row>
    <row r="154" spans="7:7" x14ac:dyDescent="0.2">
      <c r="G154" t="str">
        <f>IF(OR(E154="",F154=""),"",E154*F154)</f>
        <v/>
      </c>
    </row>
    <row r="155" spans="7:7" x14ac:dyDescent="0.2">
      <c r="G155" t="str">
        <f>IF(OR(E155="",F155=""),"",E155*F155)</f>
        <v/>
      </c>
    </row>
    <row r="156" spans="7:7" x14ac:dyDescent="0.2">
      <c r="G156" t="str">
        <f>IF(OR(E156="",F156=""),"",E156*F156)</f>
        <v/>
      </c>
    </row>
    <row r="157" spans="7:7" x14ac:dyDescent="0.2">
      <c r="G157" t="str">
        <f>IF(OR(E157="",F157=""),"",E157*F157)</f>
        <v/>
      </c>
    </row>
    <row r="158" spans="7:7" x14ac:dyDescent="0.2">
      <c r="G158" t="str">
        <f>IF(OR(E158="",F158=""),"",E158*F158)</f>
        <v/>
      </c>
    </row>
    <row r="159" spans="7:7" x14ac:dyDescent="0.2">
      <c r="G159" t="str">
        <f>IF(OR(E159="",F159=""),"",E159*F159)</f>
        <v/>
      </c>
    </row>
    <row r="160" spans="7:7" x14ac:dyDescent="0.2">
      <c r="G160" t="str">
        <f>IF(OR(E160="",F160=""),"",E160*F160)</f>
        <v/>
      </c>
    </row>
    <row r="161" spans="7:7" x14ac:dyDescent="0.2">
      <c r="G161" t="str">
        <f>IF(OR(E161="",F161=""),"",E161*F161)</f>
        <v/>
      </c>
    </row>
    <row r="162" spans="7:7" x14ac:dyDescent="0.2">
      <c r="G162" t="str">
        <f>IF(OR(E162="",F162=""),"",E162*F162)</f>
        <v/>
      </c>
    </row>
    <row r="163" spans="7:7" x14ac:dyDescent="0.2">
      <c r="G163" t="str">
        <f>IF(OR(E163="",F163=""),"",E163*F163)</f>
        <v/>
      </c>
    </row>
    <row r="164" spans="7:7" x14ac:dyDescent="0.2">
      <c r="G164" t="str">
        <f>IF(OR(E164="",F164=""),"",E164*F164)</f>
        <v/>
      </c>
    </row>
    <row r="165" spans="7:7" x14ac:dyDescent="0.2">
      <c r="G165" t="str">
        <f>IF(OR(E165="",F165=""),"",E165*F165)</f>
        <v/>
      </c>
    </row>
    <row r="166" spans="7:7" x14ac:dyDescent="0.2">
      <c r="G166" t="str">
        <f>IF(OR(E166="",F166=""),"",E166*F166)</f>
        <v/>
      </c>
    </row>
    <row r="167" spans="7:7" x14ac:dyDescent="0.2">
      <c r="G167" t="str">
        <f>IF(OR(E167="",F167=""),"",E167*F167)</f>
        <v/>
      </c>
    </row>
    <row r="168" spans="7:7" x14ac:dyDescent="0.2">
      <c r="G168" t="str">
        <f>IF(OR(E168="",F168=""),"",E168*F168)</f>
        <v/>
      </c>
    </row>
    <row r="169" spans="7:7" x14ac:dyDescent="0.2">
      <c r="G169" t="str">
        <f>IF(OR(E169="",F169=""),"",E169*F169)</f>
        <v/>
      </c>
    </row>
    <row r="170" spans="7:7" x14ac:dyDescent="0.2">
      <c r="G170" t="str">
        <f>IF(OR(E170="",F170=""),"",E170*F170)</f>
        <v/>
      </c>
    </row>
    <row r="171" spans="7:7" x14ac:dyDescent="0.2">
      <c r="G171" t="str">
        <f>IF(OR(E171="",F171=""),"",E171*F171)</f>
        <v/>
      </c>
    </row>
    <row r="172" spans="7:7" x14ac:dyDescent="0.2">
      <c r="G172" t="str">
        <f>IF(OR(E172="",F172=""),"",E172*F172)</f>
        <v/>
      </c>
    </row>
    <row r="173" spans="7:7" x14ac:dyDescent="0.2">
      <c r="G173" t="str">
        <f>IF(OR(E173="",F173=""),"",E173*F173)</f>
        <v/>
      </c>
    </row>
    <row r="174" spans="7:7" x14ac:dyDescent="0.2">
      <c r="G174" t="str">
        <f>IF(OR(E174="",F174=""),"",E174*F174)</f>
        <v/>
      </c>
    </row>
    <row r="175" spans="7:7" x14ac:dyDescent="0.2">
      <c r="G175" t="str">
        <f>IF(OR(E175="",F175=""),"",E175*F175)</f>
        <v/>
      </c>
    </row>
    <row r="176" spans="7:7" x14ac:dyDescent="0.2">
      <c r="G176" t="str">
        <f>IF(OR(E176="",F176=""),"",E176*F176)</f>
        <v/>
      </c>
    </row>
    <row r="177" spans="7:7" x14ac:dyDescent="0.2">
      <c r="G177" t="str">
        <f>IF(OR(E177="",F177=""),"",E177*F177)</f>
        <v/>
      </c>
    </row>
    <row r="178" spans="7:7" x14ac:dyDescent="0.2">
      <c r="G178" t="str">
        <f>IF(OR(E178="",F178=""),"",E178*F178)</f>
        <v/>
      </c>
    </row>
    <row r="179" spans="7:7" x14ac:dyDescent="0.2">
      <c r="G179" t="str">
        <f>IF(OR(E179="",F179=""),"",E179*F179)</f>
        <v/>
      </c>
    </row>
    <row r="180" spans="7:7" x14ac:dyDescent="0.2">
      <c r="G180" t="str">
        <f>IF(OR(E180="",F180=""),"",E180*F180)</f>
        <v/>
      </c>
    </row>
    <row r="181" spans="7:7" x14ac:dyDescent="0.2">
      <c r="G181" t="str">
        <f>IF(OR(E181="",F181=""),"",E181*F181)</f>
        <v/>
      </c>
    </row>
    <row r="182" spans="7:7" x14ac:dyDescent="0.2">
      <c r="G182" t="str">
        <f>IF(OR(E182="",F182=""),"",E182*F182)</f>
        <v/>
      </c>
    </row>
    <row r="183" spans="7:7" x14ac:dyDescent="0.2">
      <c r="G183" t="str">
        <f>IF(OR(E183="",F183=""),"",E183*F183)</f>
        <v/>
      </c>
    </row>
    <row r="184" spans="7:7" x14ac:dyDescent="0.2">
      <c r="G184" t="str">
        <f>IF(OR(E184="",F184=""),"",E184*F184)</f>
        <v/>
      </c>
    </row>
    <row r="185" spans="7:7" x14ac:dyDescent="0.2">
      <c r="G185" t="str">
        <f>IF(OR(E185="",F185=""),"",E185*F185)</f>
        <v/>
      </c>
    </row>
    <row r="186" spans="7:7" x14ac:dyDescent="0.2">
      <c r="G186" t="str">
        <f>IF(OR(E186="",F186=""),"",E186*F186)</f>
        <v/>
      </c>
    </row>
    <row r="187" spans="7:7" x14ac:dyDescent="0.2">
      <c r="G187" t="str">
        <f>IF(OR(E187="",F187=""),"",E187*F187)</f>
        <v/>
      </c>
    </row>
    <row r="188" spans="7:7" x14ac:dyDescent="0.2">
      <c r="G188" t="str">
        <f>IF(OR(E188="",F188=""),"",E188*F188)</f>
        <v/>
      </c>
    </row>
    <row r="189" spans="7:7" x14ac:dyDescent="0.2">
      <c r="G189" t="str">
        <f>IF(OR(E189="",F189=""),"",E189*F189)</f>
        <v/>
      </c>
    </row>
    <row r="190" spans="7:7" x14ac:dyDescent="0.2">
      <c r="G190" t="str">
        <f>IF(OR(E190="",F190=""),"",E190*F190)</f>
        <v/>
      </c>
    </row>
    <row r="191" spans="7:7" x14ac:dyDescent="0.2">
      <c r="G191" t="str">
        <f>IF(OR(E191="",F191=""),"",E191*F191)</f>
        <v/>
      </c>
    </row>
    <row r="192" spans="7:7" x14ac:dyDescent="0.2">
      <c r="G192" t="str">
        <f>IF(OR(E192="",F192=""),"",E192*F192)</f>
        <v/>
      </c>
    </row>
    <row r="193" spans="7:7" x14ac:dyDescent="0.2">
      <c r="G193" t="str">
        <f>IF(OR(E193="",F193=""),"",E193*F193)</f>
        <v/>
      </c>
    </row>
    <row r="194" spans="7:7" x14ac:dyDescent="0.2">
      <c r="G194" t="str">
        <f>IF(OR(E194="",F194=""),"",E194*F194)</f>
        <v/>
      </c>
    </row>
    <row r="195" spans="7:7" x14ac:dyDescent="0.2">
      <c r="G195" t="str">
        <f>IF(OR(E195="",F195=""),"",E195*F195)</f>
        <v/>
      </c>
    </row>
    <row r="196" spans="7:7" x14ac:dyDescent="0.2">
      <c r="G196" t="str">
        <f>IF(OR(E196="",F196=""),"",E196*F196)</f>
        <v/>
      </c>
    </row>
    <row r="197" spans="7:7" x14ac:dyDescent="0.2">
      <c r="G197" t="str">
        <f>IF(OR(E197="",F197=""),"",E197*F197)</f>
        <v/>
      </c>
    </row>
    <row r="198" spans="7:7" x14ac:dyDescent="0.2">
      <c r="G198" t="str">
        <f>IF(OR(E198="",F198=""),"",E198*F198)</f>
        <v/>
      </c>
    </row>
    <row r="199" spans="7:7" x14ac:dyDescent="0.2">
      <c r="G199" t="str">
        <f>IF(OR(E199="",F199=""),"",E199*F199)</f>
        <v/>
      </c>
    </row>
    <row r="200" spans="7:7" x14ac:dyDescent="0.2">
      <c r="G200" t="str">
        <f>IF(OR(E200="",F200=""),"",E200*F200)</f>
        <v/>
      </c>
    </row>
    <row r="201" spans="7:7" x14ac:dyDescent="0.2">
      <c r="G201" t="str">
        <f>IF(OR(E201="",F201=""),"",E201*F201)</f>
        <v/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1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"/>
  <cols>
    <col min="1" max="1" width="13.98828125" style="17" customWidth="1"/>
    <col min="2" max="2" width="23.9453125" style="17" customWidth="1"/>
    <col min="3" max="3" width="18.0234375" style="17" customWidth="1"/>
    <col min="4" max="4" width="13.98828125" style="17" customWidth="1"/>
    <col min="5" max="5" width="16.0078125" style="17" customWidth="1"/>
    <col min="6" max="6" width="29.99609375" style="17" customWidth="1"/>
    <col min="7" max="7" width="23.9453125" style="17" customWidth="1"/>
    <col min="8" max="8" width="22.05859375" style="17" customWidth="1"/>
  </cols>
  <sheetData>
    <row r="1" spans="1:8" x14ac:dyDescent="0.2">
      <c r="A1" s="16" t="s">
        <v>35</v>
      </c>
      <c r="B1" s="16" t="s">
        <v>62</v>
      </c>
      <c r="C1" s="16" t="s">
        <v>91</v>
      </c>
      <c r="D1" s="16" t="s">
        <v>88</v>
      </c>
      <c r="E1" s="16" t="s">
        <v>34</v>
      </c>
      <c r="F1" s="16" t="s">
        <v>90</v>
      </c>
      <c r="G1" s="16" t="s">
        <v>92</v>
      </c>
      <c r="H1" s="16" t="s">
        <v>93</v>
      </c>
    </row>
    <row r="2" spans="1:8" x14ac:dyDescent="0.2">
      <c r="E2" t="str">
        <f>IF(OR(C2="",D2=""),"",C2*D2)</f>
        <v/>
      </c>
    </row>
    <row r="3" spans="1:8" x14ac:dyDescent="0.2">
      <c r="E3" t="str">
        <f>IF(OR(C3="",D3=""),"",C3*D3)</f>
        <v/>
      </c>
    </row>
    <row r="4" spans="1:8" x14ac:dyDescent="0.2">
      <c r="E4" t="str">
        <f>IF(OR(C4="",D4=""),"",C4*D4)</f>
        <v/>
      </c>
    </row>
    <row r="5" spans="1:8" x14ac:dyDescent="0.2">
      <c r="E5" t="str">
        <f>IF(OR(C5="",D5=""),"",C5*D5)</f>
        <v/>
      </c>
    </row>
    <row r="6" spans="1:8" x14ac:dyDescent="0.2">
      <c r="E6" t="str">
        <f>IF(OR(C6="",D6=""),"",C6*D6)</f>
        <v/>
      </c>
    </row>
    <row r="7" spans="1:8" x14ac:dyDescent="0.2">
      <c r="E7" t="str">
        <f>IF(OR(C7="",D7=""),"",C7*D7)</f>
        <v/>
      </c>
    </row>
    <row r="8" spans="1:8" x14ac:dyDescent="0.2">
      <c r="E8" t="str">
        <f>IF(OR(C8="",D8=""),"",C8*D8)</f>
        <v/>
      </c>
    </row>
    <row r="9" spans="1:8" x14ac:dyDescent="0.2">
      <c r="E9" t="str">
        <f>IF(OR(C9="",D9=""),"",C9*D9)</f>
        <v/>
      </c>
    </row>
    <row r="10" spans="1:8" x14ac:dyDescent="0.2">
      <c r="E10" t="str">
        <f>IF(OR(C10="",D10=""),"",C10*D10)</f>
        <v/>
      </c>
    </row>
    <row r="11" spans="1:8" x14ac:dyDescent="0.2">
      <c r="E11" t="str">
        <f>IF(OR(C11="",D11=""),"",C11*D11)</f>
        <v/>
      </c>
    </row>
    <row r="12" spans="1:8" x14ac:dyDescent="0.2">
      <c r="E12" t="str">
        <f>IF(OR(C12="",D12=""),"",C12*D12)</f>
        <v/>
      </c>
    </row>
    <row r="13" spans="1:8" x14ac:dyDescent="0.2">
      <c r="E13" t="str">
        <f>IF(OR(C13="",D13=""),"",C13*D13)</f>
        <v/>
      </c>
    </row>
    <row r="14" spans="1:8" x14ac:dyDescent="0.2">
      <c r="E14" t="str">
        <f>IF(OR(C14="",D14=""),"",C14*D14)</f>
        <v/>
      </c>
    </row>
    <row r="15" spans="1:8" x14ac:dyDescent="0.2">
      <c r="E15" t="str">
        <f>IF(OR(C15="",D15=""),"",C15*D15)</f>
        <v/>
      </c>
    </row>
    <row r="16" spans="1:8" x14ac:dyDescent="0.2">
      <c r="E16" t="str">
        <f>IF(OR(C16="",D16=""),"",C16*D16)</f>
        <v/>
      </c>
    </row>
    <row r="17" spans="5:5" x14ac:dyDescent="0.2">
      <c r="E17" t="str">
        <f>IF(OR(C17="",D17=""),"",C17*D17)</f>
        <v/>
      </c>
    </row>
    <row r="18" spans="5:5" x14ac:dyDescent="0.2">
      <c r="E18" t="str">
        <f>IF(OR(C18="",D18=""),"",C18*D18)</f>
        <v/>
      </c>
    </row>
    <row r="19" spans="5:5" x14ac:dyDescent="0.2">
      <c r="E19" t="str">
        <f>IF(OR(C19="",D19=""),"",C19*D19)</f>
        <v/>
      </c>
    </row>
    <row r="20" spans="5:5" x14ac:dyDescent="0.2">
      <c r="E20" t="str">
        <f>IF(OR(C20="",D20=""),"",C20*D20)</f>
        <v/>
      </c>
    </row>
    <row r="21" spans="5:5" x14ac:dyDescent="0.2">
      <c r="E21" t="str">
        <f>IF(OR(C21="",D21=""),"",C21*D21)</f>
        <v/>
      </c>
    </row>
    <row r="22" spans="5:5" x14ac:dyDescent="0.2">
      <c r="E22" t="str">
        <f>IF(OR(C22="",D22=""),"",C22*D22)</f>
        <v/>
      </c>
    </row>
    <row r="23" spans="5:5" x14ac:dyDescent="0.2">
      <c r="E23" t="str">
        <f>IF(OR(C23="",D23=""),"",C23*D23)</f>
        <v/>
      </c>
    </row>
    <row r="24" spans="5:5" x14ac:dyDescent="0.2">
      <c r="E24" t="str">
        <f>IF(OR(C24="",D24=""),"",C24*D24)</f>
        <v/>
      </c>
    </row>
    <row r="25" spans="5:5" x14ac:dyDescent="0.2">
      <c r="E25" t="str">
        <f>IF(OR(C25="",D25=""),"",C25*D25)</f>
        <v/>
      </c>
    </row>
    <row r="26" spans="5:5" x14ac:dyDescent="0.2">
      <c r="E26" t="str">
        <f>IF(OR(C26="",D26=""),"",C26*D26)</f>
        <v/>
      </c>
    </row>
    <row r="27" spans="5:5" x14ac:dyDescent="0.2">
      <c r="E27" t="str">
        <f>IF(OR(C27="",D27=""),"",C27*D27)</f>
        <v/>
      </c>
    </row>
    <row r="28" spans="5:5" x14ac:dyDescent="0.2">
      <c r="E28" t="str">
        <f>IF(OR(C28="",D28=""),"",C28*D28)</f>
        <v/>
      </c>
    </row>
    <row r="29" spans="5:5" x14ac:dyDescent="0.2">
      <c r="E29" t="str">
        <f>IF(OR(C29="",D29=""),"",C29*D29)</f>
        <v/>
      </c>
    </row>
    <row r="30" spans="5:5" x14ac:dyDescent="0.2">
      <c r="E30" t="str">
        <f>IF(OR(C30="",D30=""),"",C30*D30)</f>
        <v/>
      </c>
    </row>
    <row r="31" spans="5:5" x14ac:dyDescent="0.2">
      <c r="E31" t="str">
        <f>IF(OR(C31="",D31=""),"",C31*D31)</f>
        <v/>
      </c>
    </row>
    <row r="32" spans="5:5" x14ac:dyDescent="0.2">
      <c r="E32" t="str">
        <f>IF(OR(C32="",D32=""),"",C32*D32)</f>
        <v/>
      </c>
    </row>
    <row r="33" spans="5:5" x14ac:dyDescent="0.2">
      <c r="E33" t="str">
        <f>IF(OR(C33="",D33=""),"",C33*D33)</f>
        <v/>
      </c>
    </row>
    <row r="34" spans="5:5" x14ac:dyDescent="0.2">
      <c r="E34" t="str">
        <f>IF(OR(C34="",D34=""),"",C34*D34)</f>
        <v/>
      </c>
    </row>
    <row r="35" spans="5:5" x14ac:dyDescent="0.2">
      <c r="E35" t="str">
        <f>IF(OR(C35="",D35=""),"",C35*D35)</f>
        <v/>
      </c>
    </row>
    <row r="36" spans="5:5" x14ac:dyDescent="0.2">
      <c r="E36" t="str">
        <f>IF(OR(C36="",D36=""),"",C36*D36)</f>
        <v/>
      </c>
    </row>
    <row r="37" spans="5:5" x14ac:dyDescent="0.2">
      <c r="E37" t="str">
        <f>IF(OR(C37="",D37=""),"",C37*D37)</f>
        <v/>
      </c>
    </row>
    <row r="38" spans="5:5" x14ac:dyDescent="0.2">
      <c r="E38" t="str">
        <f>IF(OR(C38="",D38=""),"",C38*D38)</f>
        <v/>
      </c>
    </row>
    <row r="39" spans="5:5" x14ac:dyDescent="0.2">
      <c r="E39" t="str">
        <f>IF(OR(C39="",D39=""),"",C39*D39)</f>
        <v/>
      </c>
    </row>
    <row r="40" spans="5:5" x14ac:dyDescent="0.2">
      <c r="E40" t="str">
        <f>IF(OR(C40="",D40=""),"",C40*D40)</f>
        <v/>
      </c>
    </row>
    <row r="41" spans="5:5" x14ac:dyDescent="0.2">
      <c r="E41" t="str">
        <f>IF(OR(C41="",D41=""),"",C41*D41)</f>
        <v/>
      </c>
    </row>
    <row r="42" spans="5:5" x14ac:dyDescent="0.2">
      <c r="E42" t="str">
        <f>IF(OR(C42="",D42=""),"",C42*D42)</f>
        <v/>
      </c>
    </row>
    <row r="43" spans="5:5" x14ac:dyDescent="0.2">
      <c r="E43" t="str">
        <f>IF(OR(C43="",D43=""),"",C43*D43)</f>
        <v/>
      </c>
    </row>
    <row r="44" spans="5:5" x14ac:dyDescent="0.2">
      <c r="E44" t="str">
        <f>IF(OR(C44="",D44=""),"",C44*D44)</f>
        <v/>
      </c>
    </row>
    <row r="45" spans="5:5" x14ac:dyDescent="0.2">
      <c r="E45" t="str">
        <f>IF(OR(C45="",D45=""),"",C45*D45)</f>
        <v/>
      </c>
    </row>
    <row r="46" spans="5:5" x14ac:dyDescent="0.2">
      <c r="E46" t="str">
        <f>IF(OR(C46="",D46=""),"",C46*D46)</f>
        <v/>
      </c>
    </row>
    <row r="47" spans="5:5" x14ac:dyDescent="0.2">
      <c r="E47" t="str">
        <f>IF(OR(C47="",D47=""),"",C47*D47)</f>
        <v/>
      </c>
    </row>
    <row r="48" spans="5:5" x14ac:dyDescent="0.2">
      <c r="E48" t="str">
        <f>IF(OR(C48="",D48=""),"",C48*D48)</f>
        <v/>
      </c>
    </row>
    <row r="49" spans="5:5" x14ac:dyDescent="0.2">
      <c r="E49" t="str">
        <f>IF(OR(C49="",D49=""),"",C49*D49)</f>
        <v/>
      </c>
    </row>
    <row r="50" spans="5:5" x14ac:dyDescent="0.2">
      <c r="E50" t="str">
        <f>IF(OR(C50="",D50=""),"",C50*D50)</f>
        <v/>
      </c>
    </row>
    <row r="51" spans="5:5" x14ac:dyDescent="0.2">
      <c r="E51" t="str">
        <f>IF(OR(C51="",D51=""),"",C51*D51)</f>
        <v/>
      </c>
    </row>
    <row r="52" spans="5:5" x14ac:dyDescent="0.2">
      <c r="E52" t="str">
        <f>IF(OR(C52="",D52=""),"",C52*D52)</f>
        <v/>
      </c>
    </row>
    <row r="53" spans="5:5" x14ac:dyDescent="0.2">
      <c r="E53" t="str">
        <f>IF(OR(C53="",D53=""),"",C53*D53)</f>
        <v/>
      </c>
    </row>
    <row r="54" spans="5:5" x14ac:dyDescent="0.2">
      <c r="E54" t="str">
        <f>IF(OR(C54="",D54=""),"",C54*D54)</f>
        <v/>
      </c>
    </row>
    <row r="55" spans="5:5" x14ac:dyDescent="0.2">
      <c r="E55" t="str">
        <f>IF(OR(C55="",D55=""),"",C55*D55)</f>
        <v/>
      </c>
    </row>
    <row r="56" spans="5:5" x14ac:dyDescent="0.2">
      <c r="E56" t="str">
        <f>IF(OR(C56="",D56=""),"",C56*D56)</f>
        <v/>
      </c>
    </row>
    <row r="57" spans="5:5" x14ac:dyDescent="0.2">
      <c r="E57" t="str">
        <f>IF(OR(C57="",D57=""),"",C57*D57)</f>
        <v/>
      </c>
    </row>
    <row r="58" spans="5:5" x14ac:dyDescent="0.2">
      <c r="E58" t="str">
        <f>IF(OR(C58="",D58=""),"",C58*D58)</f>
        <v/>
      </c>
    </row>
    <row r="59" spans="5:5" x14ac:dyDescent="0.2">
      <c r="E59" t="str">
        <f>IF(OR(C59="",D59=""),"",C59*D59)</f>
        <v/>
      </c>
    </row>
    <row r="60" spans="5:5" x14ac:dyDescent="0.2">
      <c r="E60" t="str">
        <f>IF(OR(C60="",D60=""),"",C60*D60)</f>
        <v/>
      </c>
    </row>
    <row r="61" spans="5:5" x14ac:dyDescent="0.2">
      <c r="E61" t="str">
        <f>IF(OR(C61="",D61=""),"",C61*D61)</f>
        <v/>
      </c>
    </row>
    <row r="62" spans="5:5" x14ac:dyDescent="0.2">
      <c r="E62" t="str">
        <f>IF(OR(C62="",D62=""),"",C62*D62)</f>
        <v/>
      </c>
    </row>
    <row r="63" spans="5:5" x14ac:dyDescent="0.2">
      <c r="E63" t="str">
        <f>IF(OR(C63="",D63=""),"",C63*D63)</f>
        <v/>
      </c>
    </row>
    <row r="64" spans="5:5" x14ac:dyDescent="0.2">
      <c r="E64" t="str">
        <f>IF(OR(C64="",D64=""),"",C64*D64)</f>
        <v/>
      </c>
    </row>
    <row r="65" spans="5:5" x14ac:dyDescent="0.2">
      <c r="E65" t="str">
        <f>IF(OR(C65="",D65=""),"",C65*D65)</f>
        <v/>
      </c>
    </row>
    <row r="66" spans="5:5" x14ac:dyDescent="0.2">
      <c r="E66" t="str">
        <f>IF(OR(C66="",D66=""),"",C66*D66)</f>
        <v/>
      </c>
    </row>
    <row r="67" spans="5:5" x14ac:dyDescent="0.2">
      <c r="E67" t="str">
        <f>IF(OR(C67="",D67=""),"",C67*D67)</f>
        <v/>
      </c>
    </row>
    <row r="68" spans="5:5" x14ac:dyDescent="0.2">
      <c r="E68" t="str">
        <f>IF(OR(C68="",D68=""),"",C68*D68)</f>
        <v/>
      </c>
    </row>
    <row r="69" spans="5:5" x14ac:dyDescent="0.2">
      <c r="E69" t="str">
        <f>IF(OR(C69="",D69=""),"",C69*D69)</f>
        <v/>
      </c>
    </row>
    <row r="70" spans="5:5" x14ac:dyDescent="0.2">
      <c r="E70" t="str">
        <f>IF(OR(C70="",D70=""),"",C70*D70)</f>
        <v/>
      </c>
    </row>
    <row r="71" spans="5:5" x14ac:dyDescent="0.2">
      <c r="E71" t="str">
        <f>IF(OR(C71="",D71=""),"",C71*D71)</f>
        <v/>
      </c>
    </row>
    <row r="72" spans="5:5" x14ac:dyDescent="0.2">
      <c r="E72" t="str">
        <f>IF(OR(C72="",D72=""),"",C72*D72)</f>
        <v/>
      </c>
    </row>
    <row r="73" spans="5:5" x14ac:dyDescent="0.2">
      <c r="E73" t="str">
        <f>IF(OR(C73="",D73=""),"",C73*D73)</f>
        <v/>
      </c>
    </row>
    <row r="74" spans="5:5" x14ac:dyDescent="0.2">
      <c r="E74" t="str">
        <f>IF(OR(C74="",D74=""),"",C74*D74)</f>
        <v/>
      </c>
    </row>
    <row r="75" spans="5:5" x14ac:dyDescent="0.2">
      <c r="E75" t="str">
        <f>IF(OR(C75="",D75=""),"",C75*D75)</f>
        <v/>
      </c>
    </row>
    <row r="76" spans="5:5" x14ac:dyDescent="0.2">
      <c r="E76" t="str">
        <f>IF(OR(C76="",D76=""),"",C76*D76)</f>
        <v/>
      </c>
    </row>
    <row r="77" spans="5:5" x14ac:dyDescent="0.2">
      <c r="E77" t="str">
        <f>IF(OR(C77="",D77=""),"",C77*D77)</f>
        <v/>
      </c>
    </row>
    <row r="78" spans="5:5" x14ac:dyDescent="0.2">
      <c r="E78" t="str">
        <f>IF(OR(C78="",D78=""),"",C78*D78)</f>
        <v/>
      </c>
    </row>
    <row r="79" spans="5:5" x14ac:dyDescent="0.2">
      <c r="E79" t="str">
        <f>IF(OR(C79="",D79=""),"",C79*D79)</f>
        <v/>
      </c>
    </row>
    <row r="80" spans="5:5" x14ac:dyDescent="0.2">
      <c r="E80" t="str">
        <f>IF(OR(C80="",D80=""),"",C80*D80)</f>
        <v/>
      </c>
    </row>
    <row r="81" spans="5:5" x14ac:dyDescent="0.2">
      <c r="E81" t="str">
        <f>IF(OR(C81="",D81=""),"",C81*D81)</f>
        <v/>
      </c>
    </row>
    <row r="82" spans="5:5" x14ac:dyDescent="0.2">
      <c r="E82" t="str">
        <f>IF(OR(C82="",D82=""),"",C82*D82)</f>
        <v/>
      </c>
    </row>
    <row r="83" spans="5:5" x14ac:dyDescent="0.2">
      <c r="E83" t="str">
        <f>IF(OR(C83="",D83=""),"",C83*D83)</f>
        <v/>
      </c>
    </row>
    <row r="84" spans="5:5" x14ac:dyDescent="0.2">
      <c r="E84" t="str">
        <f>IF(OR(C84="",D84=""),"",C84*D84)</f>
        <v/>
      </c>
    </row>
    <row r="85" spans="5:5" x14ac:dyDescent="0.2">
      <c r="E85" t="str">
        <f>IF(OR(C85="",D85=""),"",C85*D85)</f>
        <v/>
      </c>
    </row>
    <row r="86" spans="5:5" x14ac:dyDescent="0.2">
      <c r="E86" t="str">
        <f>IF(OR(C86="",D86=""),"",C86*D86)</f>
        <v/>
      </c>
    </row>
    <row r="87" spans="5:5" x14ac:dyDescent="0.2">
      <c r="E87" t="str">
        <f>IF(OR(C87="",D87=""),"",C87*D87)</f>
        <v/>
      </c>
    </row>
    <row r="88" spans="5:5" x14ac:dyDescent="0.2">
      <c r="E88" t="str">
        <f>IF(OR(C88="",D88=""),"",C88*D88)</f>
        <v/>
      </c>
    </row>
    <row r="89" spans="5:5" x14ac:dyDescent="0.2">
      <c r="E89" t="str">
        <f>IF(OR(C89="",D89=""),"",C89*D89)</f>
        <v/>
      </c>
    </row>
    <row r="90" spans="5:5" x14ac:dyDescent="0.2">
      <c r="E90" t="str">
        <f>IF(OR(C90="",D90=""),"",C90*D90)</f>
        <v/>
      </c>
    </row>
    <row r="91" spans="5:5" x14ac:dyDescent="0.2">
      <c r="E91" t="str">
        <f>IF(OR(C91="",D91=""),"",C91*D91)</f>
        <v/>
      </c>
    </row>
    <row r="92" spans="5:5" x14ac:dyDescent="0.2">
      <c r="E92" t="str">
        <f>IF(OR(C92="",D92=""),"",C92*D92)</f>
        <v/>
      </c>
    </row>
    <row r="93" spans="5:5" x14ac:dyDescent="0.2">
      <c r="E93" t="str">
        <f>IF(OR(C93="",D93=""),"",C93*D93)</f>
        <v/>
      </c>
    </row>
    <row r="94" spans="5:5" x14ac:dyDescent="0.2">
      <c r="E94" t="str">
        <f>IF(OR(C94="",D94=""),"",C94*D94)</f>
        <v/>
      </c>
    </row>
    <row r="95" spans="5:5" x14ac:dyDescent="0.2">
      <c r="E95" t="str">
        <f>IF(OR(C95="",D95=""),"",C95*D95)</f>
        <v/>
      </c>
    </row>
    <row r="96" spans="5:5" x14ac:dyDescent="0.2">
      <c r="E96" t="str">
        <f>IF(OR(C96="",D96=""),"",C96*D96)</f>
        <v/>
      </c>
    </row>
    <row r="97" spans="5:5" x14ac:dyDescent="0.2">
      <c r="E97" t="str">
        <f>IF(OR(C97="",D97=""),"",C97*D97)</f>
        <v/>
      </c>
    </row>
    <row r="98" spans="5:5" x14ac:dyDescent="0.2">
      <c r="E98" t="str">
        <f>IF(OR(C98="",D98=""),"",C98*D98)</f>
        <v/>
      </c>
    </row>
    <row r="99" spans="5:5" x14ac:dyDescent="0.2">
      <c r="E99" t="str">
        <f>IF(OR(C99="",D99=""),"",C99*D99)</f>
        <v/>
      </c>
    </row>
    <row r="100" spans="5:5" x14ac:dyDescent="0.2">
      <c r="E100" t="str">
        <f>IF(OR(C100="",D100=""),"",C100*D100)</f>
        <v/>
      </c>
    </row>
    <row r="101" spans="5:5" x14ac:dyDescent="0.2">
      <c r="E101" t="str">
        <f>IF(OR(C101="",D101=""),"",C101*D101)</f>
        <v/>
      </c>
    </row>
    <row r="102" spans="5:5" x14ac:dyDescent="0.2">
      <c r="E102" t="str">
        <f>IF(OR(C102="",D102=""),"",C102*D102)</f>
        <v/>
      </c>
    </row>
    <row r="103" spans="5:5" x14ac:dyDescent="0.2">
      <c r="E103" t="str">
        <f>IF(OR(C103="",D103=""),"",C103*D103)</f>
        <v/>
      </c>
    </row>
    <row r="104" spans="5:5" x14ac:dyDescent="0.2">
      <c r="E104" t="str">
        <f>IF(OR(C104="",D104=""),"",C104*D104)</f>
        <v/>
      </c>
    </row>
    <row r="105" spans="5:5" x14ac:dyDescent="0.2">
      <c r="E105" t="str">
        <f>IF(OR(C105="",D105=""),"",C105*D105)</f>
        <v/>
      </c>
    </row>
    <row r="106" spans="5:5" x14ac:dyDescent="0.2">
      <c r="E106" t="str">
        <f>IF(OR(C106="",D106=""),"",C106*D106)</f>
        <v/>
      </c>
    </row>
    <row r="107" spans="5:5" x14ac:dyDescent="0.2">
      <c r="E107" t="str">
        <f>IF(OR(C107="",D107=""),"",C107*D107)</f>
        <v/>
      </c>
    </row>
    <row r="108" spans="5:5" x14ac:dyDescent="0.2">
      <c r="E108" t="str">
        <f>IF(OR(C108="",D108=""),"",C108*D108)</f>
        <v/>
      </c>
    </row>
    <row r="109" spans="5:5" x14ac:dyDescent="0.2">
      <c r="E109" t="str">
        <f>IF(OR(C109="",D109=""),"",C109*D109)</f>
        <v/>
      </c>
    </row>
    <row r="110" spans="5:5" x14ac:dyDescent="0.2">
      <c r="E110" t="str">
        <f>IF(OR(C110="",D110=""),"",C110*D110)</f>
        <v/>
      </c>
    </row>
    <row r="111" spans="5:5" x14ac:dyDescent="0.2">
      <c r="E111" t="str">
        <f>IF(OR(C111="",D111=""),"",C111*D111)</f>
        <v/>
      </c>
    </row>
    <row r="112" spans="5:5" x14ac:dyDescent="0.2">
      <c r="E112" t="str">
        <f>IF(OR(C112="",D112=""),"",C112*D112)</f>
        <v/>
      </c>
    </row>
    <row r="113" spans="5:5" x14ac:dyDescent="0.2">
      <c r="E113" t="str">
        <f>IF(OR(C113="",D113=""),"",C113*D113)</f>
        <v/>
      </c>
    </row>
    <row r="114" spans="5:5" x14ac:dyDescent="0.2">
      <c r="E114" t="str">
        <f>IF(OR(C114="",D114=""),"",C114*D114)</f>
        <v/>
      </c>
    </row>
    <row r="115" spans="5:5" x14ac:dyDescent="0.2">
      <c r="E115" t="str">
        <f>IF(OR(C115="",D115=""),"",C115*D115)</f>
        <v/>
      </c>
    </row>
    <row r="116" spans="5:5" x14ac:dyDescent="0.2">
      <c r="E116" t="str">
        <f>IF(OR(C116="",D116=""),"",C116*D116)</f>
        <v/>
      </c>
    </row>
    <row r="117" spans="5:5" x14ac:dyDescent="0.2">
      <c r="E117" t="str">
        <f>IF(OR(C117="",D117=""),"",C117*D117)</f>
        <v/>
      </c>
    </row>
    <row r="118" spans="5:5" x14ac:dyDescent="0.2">
      <c r="E118" t="str">
        <f>IF(OR(C118="",D118=""),"",C118*D118)</f>
        <v/>
      </c>
    </row>
    <row r="119" spans="5:5" x14ac:dyDescent="0.2">
      <c r="E119" t="str">
        <f>IF(OR(C119="",D119=""),"",C119*D119)</f>
        <v/>
      </c>
    </row>
    <row r="120" spans="5:5" x14ac:dyDescent="0.2">
      <c r="E120" t="str">
        <f>IF(OR(C120="",D120=""),"",C120*D120)</f>
        <v/>
      </c>
    </row>
    <row r="121" spans="5:5" x14ac:dyDescent="0.2">
      <c r="E121" t="str">
        <f>IF(OR(C121="",D121=""),"",C121*D121)</f>
        <v/>
      </c>
    </row>
    <row r="122" spans="5:5" x14ac:dyDescent="0.2">
      <c r="E122" t="str">
        <f>IF(OR(C122="",D122=""),"",C122*D122)</f>
        <v/>
      </c>
    </row>
    <row r="123" spans="5:5" x14ac:dyDescent="0.2">
      <c r="E123" t="str">
        <f>IF(OR(C123="",D123=""),"",C123*D123)</f>
        <v/>
      </c>
    </row>
    <row r="124" spans="5:5" x14ac:dyDescent="0.2">
      <c r="E124" t="str">
        <f>IF(OR(C124="",D124=""),"",C124*D124)</f>
        <v/>
      </c>
    </row>
    <row r="125" spans="5:5" x14ac:dyDescent="0.2">
      <c r="E125" t="str">
        <f>IF(OR(C125="",D125=""),"",C125*D125)</f>
        <v/>
      </c>
    </row>
    <row r="126" spans="5:5" x14ac:dyDescent="0.2">
      <c r="E126" t="str">
        <f>IF(OR(C126="",D126=""),"",C126*D126)</f>
        <v/>
      </c>
    </row>
    <row r="127" spans="5:5" x14ac:dyDescent="0.2">
      <c r="E127" t="str">
        <f>IF(OR(C127="",D127=""),"",C127*D127)</f>
        <v/>
      </c>
    </row>
    <row r="128" spans="5:5" x14ac:dyDescent="0.2">
      <c r="E128" t="str">
        <f>IF(OR(C128="",D128=""),"",C128*D128)</f>
        <v/>
      </c>
    </row>
    <row r="129" spans="5:5" x14ac:dyDescent="0.2">
      <c r="E129" t="str">
        <f>IF(OR(C129="",D129=""),"",C129*D129)</f>
        <v/>
      </c>
    </row>
    <row r="130" spans="5:5" x14ac:dyDescent="0.2">
      <c r="E130" t="str">
        <f>IF(OR(C130="",D130=""),"",C130*D130)</f>
        <v/>
      </c>
    </row>
    <row r="131" spans="5:5" x14ac:dyDescent="0.2">
      <c r="E131" t="str">
        <f>IF(OR(C131="",D131=""),"",C131*D131)</f>
        <v/>
      </c>
    </row>
    <row r="132" spans="5:5" x14ac:dyDescent="0.2">
      <c r="E132" t="str">
        <f>IF(OR(C132="",D132=""),"",C132*D132)</f>
        <v/>
      </c>
    </row>
    <row r="133" spans="5:5" x14ac:dyDescent="0.2">
      <c r="E133" t="str">
        <f>IF(OR(C133="",D133=""),"",C133*D133)</f>
        <v/>
      </c>
    </row>
    <row r="134" spans="5:5" x14ac:dyDescent="0.2">
      <c r="E134" t="str">
        <f>IF(OR(C134="",D134=""),"",C134*D134)</f>
        <v/>
      </c>
    </row>
    <row r="135" spans="5:5" x14ac:dyDescent="0.2">
      <c r="E135" t="str">
        <f>IF(OR(C135="",D135=""),"",C135*D135)</f>
        <v/>
      </c>
    </row>
    <row r="136" spans="5:5" x14ac:dyDescent="0.2">
      <c r="E136" t="str">
        <f>IF(OR(C136="",D136=""),"",C136*D136)</f>
        <v/>
      </c>
    </row>
    <row r="137" spans="5:5" x14ac:dyDescent="0.2">
      <c r="E137" t="str">
        <f>IF(OR(C137="",D137=""),"",C137*D137)</f>
        <v/>
      </c>
    </row>
    <row r="138" spans="5:5" x14ac:dyDescent="0.2">
      <c r="E138" t="str">
        <f>IF(OR(C138="",D138=""),"",C138*D138)</f>
        <v/>
      </c>
    </row>
    <row r="139" spans="5:5" x14ac:dyDescent="0.2">
      <c r="E139" t="str">
        <f>IF(OR(C139="",D139=""),"",C139*D139)</f>
        <v/>
      </c>
    </row>
    <row r="140" spans="5:5" x14ac:dyDescent="0.2">
      <c r="E140" t="str">
        <f>IF(OR(C140="",D140=""),"",C140*D140)</f>
        <v/>
      </c>
    </row>
    <row r="141" spans="5:5" x14ac:dyDescent="0.2">
      <c r="E141" t="str">
        <f>IF(OR(C141="",D141=""),"",C141*D141)</f>
        <v/>
      </c>
    </row>
    <row r="142" spans="5:5" x14ac:dyDescent="0.2">
      <c r="E142" t="str">
        <f>IF(OR(C142="",D142=""),"",C142*D142)</f>
        <v/>
      </c>
    </row>
    <row r="143" spans="5:5" x14ac:dyDescent="0.2">
      <c r="E143" t="str">
        <f>IF(OR(C143="",D143=""),"",C143*D143)</f>
        <v/>
      </c>
    </row>
    <row r="144" spans="5:5" x14ac:dyDescent="0.2">
      <c r="E144" t="str">
        <f>IF(OR(C144="",D144=""),"",C144*D144)</f>
        <v/>
      </c>
    </row>
    <row r="145" spans="5:5" x14ac:dyDescent="0.2">
      <c r="E145" t="str">
        <f>IF(OR(C145="",D145=""),"",C145*D145)</f>
        <v/>
      </c>
    </row>
    <row r="146" spans="5:5" x14ac:dyDescent="0.2">
      <c r="E146" t="str">
        <f>IF(OR(C146="",D146=""),"",C146*D146)</f>
        <v/>
      </c>
    </row>
    <row r="147" spans="5:5" x14ac:dyDescent="0.2">
      <c r="E147" t="str">
        <f>IF(OR(C147="",D147=""),"",C147*D147)</f>
        <v/>
      </c>
    </row>
    <row r="148" spans="5:5" x14ac:dyDescent="0.2">
      <c r="E148" t="str">
        <f>IF(OR(C148="",D148=""),"",C148*D148)</f>
        <v/>
      </c>
    </row>
    <row r="149" spans="5:5" x14ac:dyDescent="0.2">
      <c r="E149" t="str">
        <f>IF(OR(C149="",D149=""),"",C149*D149)</f>
        <v/>
      </c>
    </row>
    <row r="150" spans="5:5" x14ac:dyDescent="0.2">
      <c r="E150" t="str">
        <f>IF(OR(C150="",D150=""),"",C150*D150)</f>
        <v/>
      </c>
    </row>
    <row r="151" spans="5:5" x14ac:dyDescent="0.2">
      <c r="E151" t="str">
        <f>IF(OR(C151="",D151=""),"",C151*D151)</f>
        <v/>
      </c>
    </row>
    <row r="152" spans="5:5" x14ac:dyDescent="0.2">
      <c r="E152" t="str">
        <f>IF(OR(C152="",D152=""),"",C152*D152)</f>
        <v/>
      </c>
    </row>
    <row r="153" spans="5:5" x14ac:dyDescent="0.2">
      <c r="E153" t="str">
        <f>IF(OR(C153="",D153=""),"",C153*D153)</f>
        <v/>
      </c>
    </row>
    <row r="154" spans="5:5" x14ac:dyDescent="0.2">
      <c r="E154" t="str">
        <f>IF(OR(C154="",D154=""),"",C154*D154)</f>
        <v/>
      </c>
    </row>
    <row r="155" spans="5:5" x14ac:dyDescent="0.2">
      <c r="E155" t="str">
        <f>IF(OR(C155="",D155=""),"",C155*D155)</f>
        <v/>
      </c>
    </row>
    <row r="156" spans="5:5" x14ac:dyDescent="0.2">
      <c r="E156" t="str">
        <f>IF(OR(C156="",D156=""),"",C156*D156)</f>
        <v/>
      </c>
    </row>
    <row r="157" spans="5:5" x14ac:dyDescent="0.2">
      <c r="E157" t="str">
        <f>IF(OR(C157="",D157=""),"",C157*D157)</f>
        <v/>
      </c>
    </row>
    <row r="158" spans="5:5" x14ac:dyDescent="0.2">
      <c r="E158" t="str">
        <f>IF(OR(C158="",D158=""),"",C158*D158)</f>
        <v/>
      </c>
    </row>
    <row r="159" spans="5:5" x14ac:dyDescent="0.2">
      <c r="E159" t="str">
        <f>IF(OR(C159="",D159=""),"",C159*D159)</f>
        <v/>
      </c>
    </row>
    <row r="160" spans="5:5" x14ac:dyDescent="0.2">
      <c r="E160" t="str">
        <f>IF(OR(C160="",D160=""),"",C160*D160)</f>
        <v/>
      </c>
    </row>
    <row r="161" spans="5:5" x14ac:dyDescent="0.2">
      <c r="E161" t="str">
        <f>IF(OR(C161="",D161=""),"",C161*D161)</f>
        <v/>
      </c>
    </row>
    <row r="162" spans="5:5" x14ac:dyDescent="0.2">
      <c r="E162" t="str">
        <f>IF(OR(C162="",D162=""),"",C162*D162)</f>
        <v/>
      </c>
    </row>
    <row r="163" spans="5:5" x14ac:dyDescent="0.2">
      <c r="E163" t="str">
        <f>IF(OR(C163="",D163=""),"",C163*D163)</f>
        <v/>
      </c>
    </row>
    <row r="164" spans="5:5" x14ac:dyDescent="0.2">
      <c r="E164" t="str">
        <f>IF(OR(C164="",D164=""),"",C164*D164)</f>
        <v/>
      </c>
    </row>
    <row r="165" spans="5:5" x14ac:dyDescent="0.2">
      <c r="E165" t="str">
        <f>IF(OR(C165="",D165=""),"",C165*D165)</f>
        <v/>
      </c>
    </row>
    <row r="166" spans="5:5" x14ac:dyDescent="0.2">
      <c r="E166" t="str">
        <f>IF(OR(C166="",D166=""),"",C166*D166)</f>
        <v/>
      </c>
    </row>
    <row r="167" spans="5:5" x14ac:dyDescent="0.2">
      <c r="E167" t="str">
        <f>IF(OR(C167="",D167=""),"",C167*D167)</f>
        <v/>
      </c>
    </row>
    <row r="168" spans="5:5" x14ac:dyDescent="0.2">
      <c r="E168" t="str">
        <f>IF(OR(C168="",D168=""),"",C168*D168)</f>
        <v/>
      </c>
    </row>
    <row r="169" spans="5:5" x14ac:dyDescent="0.2">
      <c r="E169" t="str">
        <f>IF(OR(C169="",D169=""),"",C169*D169)</f>
        <v/>
      </c>
    </row>
    <row r="170" spans="5:5" x14ac:dyDescent="0.2">
      <c r="E170" t="str">
        <f>IF(OR(C170="",D170=""),"",C170*D170)</f>
        <v/>
      </c>
    </row>
    <row r="171" spans="5:5" x14ac:dyDescent="0.2">
      <c r="E171" t="str">
        <f>IF(OR(C171="",D171=""),"",C171*D171)</f>
        <v/>
      </c>
    </row>
    <row r="172" spans="5:5" x14ac:dyDescent="0.2">
      <c r="E172" t="str">
        <f>IF(OR(C172="",D172=""),"",C172*D172)</f>
        <v/>
      </c>
    </row>
    <row r="173" spans="5:5" x14ac:dyDescent="0.2">
      <c r="E173" t="str">
        <f>IF(OR(C173="",D173=""),"",C173*D173)</f>
        <v/>
      </c>
    </row>
    <row r="174" spans="5:5" x14ac:dyDescent="0.2">
      <c r="E174" t="str">
        <f>IF(OR(C174="",D174=""),"",C174*D174)</f>
        <v/>
      </c>
    </row>
    <row r="175" spans="5:5" x14ac:dyDescent="0.2">
      <c r="E175" t="str">
        <f>IF(OR(C175="",D175=""),"",C175*D175)</f>
        <v/>
      </c>
    </row>
    <row r="176" spans="5:5" x14ac:dyDescent="0.2">
      <c r="E176" t="str">
        <f>IF(OR(C176="",D176=""),"",C176*D176)</f>
        <v/>
      </c>
    </row>
    <row r="177" spans="5:5" x14ac:dyDescent="0.2">
      <c r="E177" t="str">
        <f>IF(OR(C177="",D177=""),"",C177*D177)</f>
        <v/>
      </c>
    </row>
    <row r="178" spans="5:5" x14ac:dyDescent="0.2">
      <c r="E178" t="str">
        <f>IF(OR(C178="",D178=""),"",C178*D178)</f>
        <v/>
      </c>
    </row>
    <row r="179" spans="5:5" x14ac:dyDescent="0.2">
      <c r="E179" t="str">
        <f>IF(OR(C179="",D179=""),"",C179*D179)</f>
        <v/>
      </c>
    </row>
    <row r="180" spans="5:5" x14ac:dyDescent="0.2">
      <c r="E180" t="str">
        <f>IF(OR(C180="",D180=""),"",C180*D180)</f>
        <v/>
      </c>
    </row>
    <row r="181" spans="5:5" x14ac:dyDescent="0.2">
      <c r="E181" t="str">
        <f>IF(OR(C181="",D181=""),"",C181*D181)</f>
        <v/>
      </c>
    </row>
    <row r="182" spans="5:5" x14ac:dyDescent="0.2">
      <c r="E182" t="str">
        <f>IF(OR(C182="",D182=""),"",C182*D182)</f>
        <v/>
      </c>
    </row>
    <row r="183" spans="5:5" x14ac:dyDescent="0.2">
      <c r="E183" t="str">
        <f>IF(OR(C183="",D183=""),"",C183*D183)</f>
        <v/>
      </c>
    </row>
    <row r="184" spans="5:5" x14ac:dyDescent="0.2">
      <c r="E184" t="str">
        <f>IF(OR(C184="",D184=""),"",C184*D184)</f>
        <v/>
      </c>
    </row>
    <row r="185" spans="5:5" x14ac:dyDescent="0.2">
      <c r="E185" t="str">
        <f>IF(OR(C185="",D185=""),"",C185*D185)</f>
        <v/>
      </c>
    </row>
    <row r="186" spans="5:5" x14ac:dyDescent="0.2">
      <c r="E186" t="str">
        <f>IF(OR(C186="",D186=""),"",C186*D186)</f>
        <v/>
      </c>
    </row>
    <row r="187" spans="5:5" x14ac:dyDescent="0.2">
      <c r="E187" t="str">
        <f>IF(OR(C187="",D187=""),"",C187*D187)</f>
        <v/>
      </c>
    </row>
    <row r="188" spans="5:5" x14ac:dyDescent="0.2">
      <c r="E188" t="str">
        <f>IF(OR(C188="",D188=""),"",C188*D188)</f>
        <v/>
      </c>
    </row>
    <row r="189" spans="5:5" x14ac:dyDescent="0.2">
      <c r="E189" t="str">
        <f>IF(OR(C189="",D189=""),"",C189*D189)</f>
        <v/>
      </c>
    </row>
    <row r="190" spans="5:5" x14ac:dyDescent="0.2">
      <c r="E190" t="str">
        <f>IF(OR(C190="",D190=""),"",C190*D190)</f>
        <v/>
      </c>
    </row>
    <row r="191" spans="5:5" x14ac:dyDescent="0.2">
      <c r="E191" t="str">
        <f>IF(OR(C191="",D191=""),"",C191*D191)</f>
        <v/>
      </c>
    </row>
    <row r="192" spans="5:5" x14ac:dyDescent="0.2">
      <c r="E192" t="str">
        <f>IF(OR(C192="",D192=""),"",C192*D192)</f>
        <v/>
      </c>
    </row>
    <row r="193" spans="5:5" x14ac:dyDescent="0.2">
      <c r="E193" t="str">
        <f>IF(OR(C193="",D193=""),"",C193*D193)</f>
        <v/>
      </c>
    </row>
    <row r="194" spans="5:5" x14ac:dyDescent="0.2">
      <c r="E194" t="str">
        <f>IF(OR(C194="",D194=""),"",C194*D194)</f>
        <v/>
      </c>
    </row>
    <row r="195" spans="5:5" x14ac:dyDescent="0.2">
      <c r="E195" t="str">
        <f>IF(OR(C195="",D195=""),"",C195*D195)</f>
        <v/>
      </c>
    </row>
    <row r="196" spans="5:5" x14ac:dyDescent="0.2">
      <c r="E196" t="str">
        <f>IF(OR(C196="",D196=""),"",C196*D196)</f>
        <v/>
      </c>
    </row>
    <row r="197" spans="5:5" x14ac:dyDescent="0.2">
      <c r="E197" t="str">
        <f>IF(OR(C197="",D197=""),"",C197*D197)</f>
        <v/>
      </c>
    </row>
    <row r="198" spans="5:5" x14ac:dyDescent="0.2">
      <c r="E198" t="str">
        <f>IF(OR(C198="",D198=""),"",C198*D198)</f>
        <v/>
      </c>
    </row>
    <row r="199" spans="5:5" x14ac:dyDescent="0.2">
      <c r="E199" t="str">
        <f>IF(OR(C199="",D199=""),"",C199*D199)</f>
        <v/>
      </c>
    </row>
    <row r="200" spans="5:5" x14ac:dyDescent="0.2">
      <c r="E200" t="str">
        <f>IF(OR(C200="",D200=""),"",C200*D200)</f>
        <v/>
      </c>
    </row>
    <row r="201" spans="5:5" x14ac:dyDescent="0.2">
      <c r="E201" t="str">
        <f>IF(OR(C201="",D201=""),"",C201*D201)</f>
        <v/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1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"/>
  <cols>
    <col min="1" max="1" width="14.9296875" style="17" customWidth="1"/>
    <col min="2" max="2" width="25.9609375" style="17" customWidth="1"/>
    <col min="3" max="3" width="18.0234375" style="17" customWidth="1"/>
    <col min="4" max="4" width="22.05859375" style="17" customWidth="1"/>
    <col min="5" max="5" width="16.0078125" style="17" customWidth="1"/>
    <col min="6" max="6" width="14.9296875" style="17" customWidth="1"/>
    <col min="7" max="8" width="16.0078125" style="17" customWidth="1"/>
    <col min="9" max="9" width="20.04296875" style="17" customWidth="1"/>
    <col min="10" max="10" width="22.05859375" style="17" customWidth="1"/>
    <col min="11" max="11" width="18.0234375" style="17" customWidth="1"/>
  </cols>
  <sheetData>
    <row r="1" spans="1:11" x14ac:dyDescent="0.2">
      <c r="A1" s="16" t="s">
        <v>94</v>
      </c>
      <c r="B1" s="16" t="s">
        <v>95</v>
      </c>
      <c r="C1" s="16" t="s">
        <v>96</v>
      </c>
      <c r="D1" s="16" t="s">
        <v>97</v>
      </c>
      <c r="E1" s="16" t="s">
        <v>98</v>
      </c>
      <c r="F1" s="16" t="s">
        <v>99</v>
      </c>
      <c r="G1" s="16" t="s">
        <v>100</v>
      </c>
      <c r="H1" s="16" t="s">
        <v>101</v>
      </c>
      <c r="I1" s="16" t="s">
        <v>102</v>
      </c>
      <c r="J1" s="16" t="s">
        <v>103</v>
      </c>
      <c r="K1" s="16" t="s">
        <v>104</v>
      </c>
    </row>
    <row r="2" spans="1:11" x14ac:dyDescent="0.2">
      <c r="I2" t="str">
        <f>IF(A2="","",E2+G2-H2)</f>
        <v/>
      </c>
      <c r="K2" t="str">
        <f>IF(A2="","",IF(I2&gt;F2,"OVER LIMIT",IF(I2&gt;0,"ACTIVE CREDIT","CLEAR")))</f>
        <v/>
      </c>
    </row>
    <row r="3" spans="1:11" x14ac:dyDescent="0.2">
      <c r="I3" t="str">
        <f>IF(A3="","",E3+G3-H3)</f>
        <v/>
      </c>
      <c r="K3" t="str">
        <f>IF(A3="","",IF(I3&gt;F3,"OVER LIMIT",IF(I3&gt;0,"ACTIVE CREDIT","CLEAR")))</f>
        <v/>
      </c>
    </row>
    <row r="4" spans="1:11" x14ac:dyDescent="0.2">
      <c r="I4" t="str">
        <f>IF(A4="","",E4+G4-H4)</f>
        <v/>
      </c>
      <c r="K4" t="str">
        <f>IF(A4="","",IF(I4&gt;F4,"OVER LIMIT",IF(I4&gt;0,"ACTIVE CREDIT","CLEAR")))</f>
        <v/>
      </c>
    </row>
    <row r="5" spans="1:11" x14ac:dyDescent="0.2">
      <c r="I5" t="str">
        <f>IF(A5="","",E5+G5-H5)</f>
        <v/>
      </c>
      <c r="K5" t="str">
        <f>IF(A5="","",IF(I5&gt;F5,"OVER LIMIT",IF(I5&gt;0,"ACTIVE CREDIT","CLEAR")))</f>
        <v/>
      </c>
    </row>
    <row r="6" spans="1:11" x14ac:dyDescent="0.2">
      <c r="I6" t="str">
        <f>IF(A6="","",E6+G6-H6)</f>
        <v/>
      </c>
      <c r="K6" t="str">
        <f>IF(A6="","",IF(I6&gt;F6,"OVER LIMIT",IF(I6&gt;0,"ACTIVE CREDIT","CLEAR")))</f>
        <v/>
      </c>
    </row>
    <row r="7" spans="1:11" x14ac:dyDescent="0.2">
      <c r="I7" t="str">
        <f>IF(A7="","",E7+G7-H7)</f>
        <v/>
      </c>
      <c r="K7" t="str">
        <f>IF(A7="","",IF(I7&gt;F7,"OVER LIMIT",IF(I7&gt;0,"ACTIVE CREDIT","CLEAR")))</f>
        <v/>
      </c>
    </row>
    <row r="8" spans="1:11" x14ac:dyDescent="0.2">
      <c r="I8" t="str">
        <f>IF(A8="","",E8+G8-H8)</f>
        <v/>
      </c>
      <c r="K8" t="str">
        <f>IF(A8="","",IF(I8&gt;F8,"OVER LIMIT",IF(I8&gt;0,"ACTIVE CREDIT","CLEAR")))</f>
        <v/>
      </c>
    </row>
    <row r="9" spans="1:11" x14ac:dyDescent="0.2">
      <c r="I9" t="str">
        <f>IF(A9="","",E9+G9-H9)</f>
        <v/>
      </c>
      <c r="K9" t="str">
        <f>IF(A9="","",IF(I9&gt;F9,"OVER LIMIT",IF(I9&gt;0,"ACTIVE CREDIT","CLEAR")))</f>
        <v/>
      </c>
    </row>
    <row r="10" spans="1:11" x14ac:dyDescent="0.2">
      <c r="I10" t="str">
        <f>IF(A10="","",E10+G10-H10)</f>
        <v/>
      </c>
      <c r="K10" t="str">
        <f>IF(A10="","",IF(I10&gt;F10,"OVER LIMIT",IF(I10&gt;0,"ACTIVE CREDIT","CLEAR")))</f>
        <v/>
      </c>
    </row>
    <row r="11" spans="1:11" x14ac:dyDescent="0.2">
      <c r="I11" t="str">
        <f>IF(A11="","",E11+G11-H11)</f>
        <v/>
      </c>
      <c r="K11" t="str">
        <f>IF(A11="","",IF(I11&gt;F11,"OVER LIMIT",IF(I11&gt;0,"ACTIVE CREDIT","CLEAR")))</f>
        <v/>
      </c>
    </row>
    <row r="12" spans="1:11" x14ac:dyDescent="0.2">
      <c r="I12" t="str">
        <f>IF(A12="","",E12+G12-H12)</f>
        <v/>
      </c>
      <c r="K12" t="str">
        <f>IF(A12="","",IF(I12&gt;F12,"OVER LIMIT",IF(I12&gt;0,"ACTIVE CREDIT","CLEAR")))</f>
        <v/>
      </c>
    </row>
    <row r="13" spans="1:11" x14ac:dyDescent="0.2">
      <c r="I13" t="str">
        <f>IF(A13="","",E13+G13-H13)</f>
        <v/>
      </c>
      <c r="K13" t="str">
        <f>IF(A13="","",IF(I13&gt;F13,"OVER LIMIT",IF(I13&gt;0,"ACTIVE CREDIT","CLEAR")))</f>
        <v/>
      </c>
    </row>
    <row r="14" spans="1:11" x14ac:dyDescent="0.2">
      <c r="I14" t="str">
        <f>IF(A14="","",E14+G14-H14)</f>
        <v/>
      </c>
      <c r="K14" t="str">
        <f>IF(A14="","",IF(I14&gt;F14,"OVER LIMIT",IF(I14&gt;0,"ACTIVE CREDIT","CLEAR")))</f>
        <v/>
      </c>
    </row>
    <row r="15" spans="1:11" x14ac:dyDescent="0.2">
      <c r="I15" t="str">
        <f>IF(A15="","",E15+G15-H15)</f>
        <v/>
      </c>
      <c r="K15" t="str">
        <f>IF(A15="","",IF(I15&gt;F15,"OVER LIMIT",IF(I15&gt;0,"ACTIVE CREDIT","CLEAR")))</f>
        <v/>
      </c>
    </row>
    <row r="16" spans="1:11" x14ac:dyDescent="0.2">
      <c r="I16" t="str">
        <f>IF(A16="","",E16+G16-H16)</f>
        <v/>
      </c>
      <c r="K16" t="str">
        <f>IF(A16="","",IF(I16&gt;F16,"OVER LIMIT",IF(I16&gt;0,"ACTIVE CREDIT","CLEAR")))</f>
        <v/>
      </c>
    </row>
    <row r="17" spans="9:11" x14ac:dyDescent="0.2">
      <c r="I17" t="str">
        <f>IF(A17="","",E17+G17-H17)</f>
        <v/>
      </c>
      <c r="K17" t="str">
        <f>IF(A17="","",IF(I17&gt;F17,"OVER LIMIT",IF(I17&gt;0,"ACTIVE CREDIT","CLEAR")))</f>
        <v/>
      </c>
    </row>
    <row r="18" spans="9:11" x14ac:dyDescent="0.2">
      <c r="I18" t="str">
        <f>IF(A18="","",E18+G18-H18)</f>
        <v/>
      </c>
      <c r="K18" t="str">
        <f>IF(A18="","",IF(I18&gt;F18,"OVER LIMIT",IF(I18&gt;0,"ACTIVE CREDIT","CLEAR")))</f>
        <v/>
      </c>
    </row>
    <row r="19" spans="9:11" x14ac:dyDescent="0.2">
      <c r="I19" t="str">
        <f>IF(A19="","",E19+G19-H19)</f>
        <v/>
      </c>
      <c r="K19" t="str">
        <f>IF(A19="","",IF(I19&gt;F19,"OVER LIMIT",IF(I19&gt;0,"ACTIVE CREDIT","CLEAR")))</f>
        <v/>
      </c>
    </row>
    <row r="20" spans="9:11" x14ac:dyDescent="0.2">
      <c r="I20" t="str">
        <f>IF(A20="","",E20+G20-H20)</f>
        <v/>
      </c>
      <c r="K20" t="str">
        <f>IF(A20="","",IF(I20&gt;F20,"OVER LIMIT",IF(I20&gt;0,"ACTIVE CREDIT","CLEAR")))</f>
        <v/>
      </c>
    </row>
    <row r="21" spans="9:11" x14ac:dyDescent="0.2">
      <c r="I21" t="str">
        <f>IF(A21="","",E21+G21-H21)</f>
        <v/>
      </c>
      <c r="K21" t="str">
        <f>IF(A21="","",IF(I21&gt;F21,"OVER LIMIT",IF(I21&gt;0,"ACTIVE CREDIT","CLEAR")))</f>
        <v/>
      </c>
    </row>
    <row r="22" spans="9:11" x14ac:dyDescent="0.2">
      <c r="I22" t="str">
        <f>IF(A22="","",E22+G22-H22)</f>
        <v/>
      </c>
      <c r="K22" t="str">
        <f>IF(A22="","",IF(I22&gt;F22,"OVER LIMIT",IF(I22&gt;0,"ACTIVE CREDIT","CLEAR")))</f>
        <v/>
      </c>
    </row>
    <row r="23" spans="9:11" x14ac:dyDescent="0.2">
      <c r="I23" t="str">
        <f>IF(A23="","",E23+G23-H23)</f>
        <v/>
      </c>
      <c r="K23" t="str">
        <f>IF(A23="","",IF(I23&gt;F23,"OVER LIMIT",IF(I23&gt;0,"ACTIVE CREDIT","CLEAR")))</f>
        <v/>
      </c>
    </row>
    <row r="24" spans="9:11" x14ac:dyDescent="0.2">
      <c r="I24" t="str">
        <f>IF(A24="","",E24+G24-H24)</f>
        <v/>
      </c>
      <c r="K24" t="str">
        <f>IF(A24="","",IF(I24&gt;F24,"OVER LIMIT",IF(I24&gt;0,"ACTIVE CREDIT","CLEAR")))</f>
        <v/>
      </c>
    </row>
    <row r="25" spans="9:11" x14ac:dyDescent="0.2">
      <c r="I25" t="str">
        <f>IF(A25="","",E25+G25-H25)</f>
        <v/>
      </c>
      <c r="K25" t="str">
        <f>IF(A25="","",IF(I25&gt;F25,"OVER LIMIT",IF(I25&gt;0,"ACTIVE CREDIT","CLEAR")))</f>
        <v/>
      </c>
    </row>
    <row r="26" spans="9:11" x14ac:dyDescent="0.2">
      <c r="I26" t="str">
        <f>IF(A26="","",E26+G26-H26)</f>
        <v/>
      </c>
      <c r="K26" t="str">
        <f>IF(A26="","",IF(I26&gt;F26,"OVER LIMIT",IF(I26&gt;0,"ACTIVE CREDIT","CLEAR")))</f>
        <v/>
      </c>
    </row>
    <row r="27" spans="9:11" x14ac:dyDescent="0.2">
      <c r="I27" t="str">
        <f>IF(A27="","",E27+G27-H27)</f>
        <v/>
      </c>
      <c r="K27" t="str">
        <f>IF(A27="","",IF(I27&gt;F27,"OVER LIMIT",IF(I27&gt;0,"ACTIVE CREDIT","CLEAR")))</f>
        <v/>
      </c>
    </row>
    <row r="28" spans="9:11" x14ac:dyDescent="0.2">
      <c r="I28" t="str">
        <f>IF(A28="","",E28+G28-H28)</f>
        <v/>
      </c>
      <c r="K28" t="str">
        <f>IF(A28="","",IF(I28&gt;F28,"OVER LIMIT",IF(I28&gt;0,"ACTIVE CREDIT","CLEAR")))</f>
        <v/>
      </c>
    </row>
    <row r="29" spans="9:11" x14ac:dyDescent="0.2">
      <c r="I29" t="str">
        <f>IF(A29="","",E29+G29-H29)</f>
        <v/>
      </c>
      <c r="K29" t="str">
        <f>IF(A29="","",IF(I29&gt;F29,"OVER LIMIT",IF(I29&gt;0,"ACTIVE CREDIT","CLEAR")))</f>
        <v/>
      </c>
    </row>
    <row r="30" spans="9:11" x14ac:dyDescent="0.2">
      <c r="I30" t="str">
        <f>IF(A30="","",E30+G30-H30)</f>
        <v/>
      </c>
      <c r="K30" t="str">
        <f>IF(A30="","",IF(I30&gt;F30,"OVER LIMIT",IF(I30&gt;0,"ACTIVE CREDIT","CLEAR")))</f>
        <v/>
      </c>
    </row>
    <row r="31" spans="9:11" x14ac:dyDescent="0.2">
      <c r="I31" t="str">
        <f>IF(A31="","",E31+G31-H31)</f>
        <v/>
      </c>
      <c r="K31" t="str">
        <f>IF(A31="","",IF(I31&gt;F31,"OVER LIMIT",IF(I31&gt;0,"ACTIVE CREDIT","CLEAR")))</f>
        <v/>
      </c>
    </row>
    <row r="32" spans="9:11" x14ac:dyDescent="0.2">
      <c r="I32" t="str">
        <f>IF(A32="","",E32+G32-H32)</f>
        <v/>
      </c>
      <c r="K32" t="str">
        <f>IF(A32="","",IF(I32&gt;F32,"OVER LIMIT",IF(I32&gt;0,"ACTIVE CREDIT","CLEAR")))</f>
        <v/>
      </c>
    </row>
    <row r="33" spans="9:11" x14ac:dyDescent="0.2">
      <c r="I33" t="str">
        <f>IF(A33="","",E33+G33-H33)</f>
        <v/>
      </c>
      <c r="K33" t="str">
        <f>IF(A33="","",IF(I33&gt;F33,"OVER LIMIT",IF(I33&gt;0,"ACTIVE CREDIT","CLEAR")))</f>
        <v/>
      </c>
    </row>
    <row r="34" spans="9:11" x14ac:dyDescent="0.2">
      <c r="I34" t="str">
        <f>IF(A34="","",E34+G34-H34)</f>
        <v/>
      </c>
      <c r="K34" t="str">
        <f>IF(A34="","",IF(I34&gt;F34,"OVER LIMIT",IF(I34&gt;0,"ACTIVE CREDIT","CLEAR")))</f>
        <v/>
      </c>
    </row>
    <row r="35" spans="9:11" x14ac:dyDescent="0.2">
      <c r="I35" t="str">
        <f>IF(A35="","",E35+G35-H35)</f>
        <v/>
      </c>
      <c r="K35" t="str">
        <f>IF(A35="","",IF(I35&gt;F35,"OVER LIMIT",IF(I35&gt;0,"ACTIVE CREDIT","CLEAR")))</f>
        <v/>
      </c>
    </row>
    <row r="36" spans="9:11" x14ac:dyDescent="0.2">
      <c r="I36" t="str">
        <f>IF(A36="","",E36+G36-H36)</f>
        <v/>
      </c>
      <c r="K36" t="str">
        <f>IF(A36="","",IF(I36&gt;F36,"OVER LIMIT",IF(I36&gt;0,"ACTIVE CREDIT","CLEAR")))</f>
        <v/>
      </c>
    </row>
    <row r="37" spans="9:11" x14ac:dyDescent="0.2">
      <c r="I37" t="str">
        <f>IF(A37="","",E37+G37-H37)</f>
        <v/>
      </c>
      <c r="K37" t="str">
        <f>IF(A37="","",IF(I37&gt;F37,"OVER LIMIT",IF(I37&gt;0,"ACTIVE CREDIT","CLEAR")))</f>
        <v/>
      </c>
    </row>
    <row r="38" spans="9:11" x14ac:dyDescent="0.2">
      <c r="I38" t="str">
        <f>IF(A38="","",E38+G38-H38)</f>
        <v/>
      </c>
      <c r="K38" t="str">
        <f>IF(A38="","",IF(I38&gt;F38,"OVER LIMIT",IF(I38&gt;0,"ACTIVE CREDIT","CLEAR")))</f>
        <v/>
      </c>
    </row>
    <row r="39" spans="9:11" x14ac:dyDescent="0.2">
      <c r="I39" t="str">
        <f>IF(A39="","",E39+G39-H39)</f>
        <v/>
      </c>
      <c r="K39" t="str">
        <f>IF(A39="","",IF(I39&gt;F39,"OVER LIMIT",IF(I39&gt;0,"ACTIVE CREDIT","CLEAR")))</f>
        <v/>
      </c>
    </row>
    <row r="40" spans="9:11" x14ac:dyDescent="0.2">
      <c r="I40" t="str">
        <f>IF(A40="","",E40+G40-H40)</f>
        <v/>
      </c>
      <c r="K40" t="str">
        <f>IF(A40="","",IF(I40&gt;F40,"OVER LIMIT",IF(I40&gt;0,"ACTIVE CREDIT","CLEAR")))</f>
        <v/>
      </c>
    </row>
    <row r="41" spans="9:11" x14ac:dyDescent="0.2">
      <c r="I41" t="str">
        <f>IF(A41="","",E41+G41-H41)</f>
        <v/>
      </c>
      <c r="K41" t="str">
        <f>IF(A41="","",IF(I41&gt;F41,"OVER LIMIT",IF(I41&gt;0,"ACTIVE CREDIT","CLEAR")))</f>
        <v/>
      </c>
    </row>
    <row r="42" spans="9:11" x14ac:dyDescent="0.2">
      <c r="I42" t="str">
        <f>IF(A42="","",E42+G42-H42)</f>
        <v/>
      </c>
      <c r="K42" t="str">
        <f>IF(A42="","",IF(I42&gt;F42,"OVER LIMIT",IF(I42&gt;0,"ACTIVE CREDIT","CLEAR")))</f>
        <v/>
      </c>
    </row>
    <row r="43" spans="9:11" x14ac:dyDescent="0.2">
      <c r="I43" t="str">
        <f>IF(A43="","",E43+G43-H43)</f>
        <v/>
      </c>
      <c r="K43" t="str">
        <f>IF(A43="","",IF(I43&gt;F43,"OVER LIMIT",IF(I43&gt;0,"ACTIVE CREDIT","CLEAR")))</f>
        <v/>
      </c>
    </row>
    <row r="44" spans="9:11" x14ac:dyDescent="0.2">
      <c r="I44" t="str">
        <f>IF(A44="","",E44+G44-H44)</f>
        <v/>
      </c>
      <c r="K44" t="str">
        <f>IF(A44="","",IF(I44&gt;F44,"OVER LIMIT",IF(I44&gt;0,"ACTIVE CREDIT","CLEAR")))</f>
        <v/>
      </c>
    </row>
    <row r="45" spans="9:11" x14ac:dyDescent="0.2">
      <c r="I45" t="str">
        <f>IF(A45="","",E45+G45-H45)</f>
        <v/>
      </c>
      <c r="K45" t="str">
        <f>IF(A45="","",IF(I45&gt;F45,"OVER LIMIT",IF(I45&gt;0,"ACTIVE CREDIT","CLEAR")))</f>
        <v/>
      </c>
    </row>
    <row r="46" spans="9:11" x14ac:dyDescent="0.2">
      <c r="I46" t="str">
        <f>IF(A46="","",E46+G46-H46)</f>
        <v/>
      </c>
      <c r="K46" t="str">
        <f>IF(A46="","",IF(I46&gt;F46,"OVER LIMIT",IF(I46&gt;0,"ACTIVE CREDIT","CLEAR")))</f>
        <v/>
      </c>
    </row>
    <row r="47" spans="9:11" x14ac:dyDescent="0.2">
      <c r="I47" t="str">
        <f>IF(A47="","",E47+G47-H47)</f>
        <v/>
      </c>
      <c r="K47" t="str">
        <f>IF(A47="","",IF(I47&gt;F47,"OVER LIMIT",IF(I47&gt;0,"ACTIVE CREDIT","CLEAR")))</f>
        <v/>
      </c>
    </row>
    <row r="48" spans="9:11" x14ac:dyDescent="0.2">
      <c r="I48" t="str">
        <f>IF(A48="","",E48+G48-H48)</f>
        <v/>
      </c>
      <c r="K48" t="str">
        <f>IF(A48="","",IF(I48&gt;F48,"OVER LIMIT",IF(I48&gt;0,"ACTIVE CREDIT","CLEAR")))</f>
        <v/>
      </c>
    </row>
    <row r="49" spans="9:11" x14ac:dyDescent="0.2">
      <c r="I49" t="str">
        <f>IF(A49="","",E49+G49-H49)</f>
        <v/>
      </c>
      <c r="K49" t="str">
        <f>IF(A49="","",IF(I49&gt;F49,"OVER LIMIT",IF(I49&gt;0,"ACTIVE CREDIT","CLEAR")))</f>
        <v/>
      </c>
    </row>
    <row r="50" spans="9:11" x14ac:dyDescent="0.2">
      <c r="I50" t="str">
        <f>IF(A50="","",E50+G50-H50)</f>
        <v/>
      </c>
      <c r="K50" t="str">
        <f>IF(A50="","",IF(I50&gt;F50,"OVER LIMIT",IF(I50&gt;0,"ACTIVE CREDIT","CLEAR")))</f>
        <v/>
      </c>
    </row>
    <row r="51" spans="9:11" x14ac:dyDescent="0.2">
      <c r="I51" t="str">
        <f>IF(A51="","",E51+G51-H51)</f>
        <v/>
      </c>
      <c r="K51" t="str">
        <f>IF(A51="","",IF(I51&gt;F51,"OVER LIMIT",IF(I51&gt;0,"ACTIVE CREDIT","CLEAR")))</f>
        <v/>
      </c>
    </row>
    <row r="52" spans="9:11" x14ac:dyDescent="0.2">
      <c r="I52" t="str">
        <f>IF(A52="","",E52+G52-H52)</f>
        <v/>
      </c>
      <c r="K52" t="str">
        <f>IF(A52="","",IF(I52&gt;F52,"OVER LIMIT",IF(I52&gt;0,"ACTIVE CREDIT","CLEAR")))</f>
        <v/>
      </c>
    </row>
    <row r="53" spans="9:11" x14ac:dyDescent="0.2">
      <c r="I53" t="str">
        <f>IF(A53="","",E53+G53-H53)</f>
        <v/>
      </c>
      <c r="K53" t="str">
        <f>IF(A53="","",IF(I53&gt;F53,"OVER LIMIT",IF(I53&gt;0,"ACTIVE CREDIT","CLEAR")))</f>
        <v/>
      </c>
    </row>
    <row r="54" spans="9:11" x14ac:dyDescent="0.2">
      <c r="I54" t="str">
        <f>IF(A54="","",E54+G54-H54)</f>
        <v/>
      </c>
      <c r="K54" t="str">
        <f>IF(A54="","",IF(I54&gt;F54,"OVER LIMIT",IF(I54&gt;0,"ACTIVE CREDIT","CLEAR")))</f>
        <v/>
      </c>
    </row>
    <row r="55" spans="9:11" x14ac:dyDescent="0.2">
      <c r="I55" t="str">
        <f>IF(A55="","",E55+G55-H55)</f>
        <v/>
      </c>
      <c r="K55" t="str">
        <f>IF(A55="","",IF(I55&gt;F55,"OVER LIMIT",IF(I55&gt;0,"ACTIVE CREDIT","CLEAR")))</f>
        <v/>
      </c>
    </row>
    <row r="56" spans="9:11" x14ac:dyDescent="0.2">
      <c r="I56" t="str">
        <f>IF(A56="","",E56+G56-H56)</f>
        <v/>
      </c>
      <c r="K56" t="str">
        <f>IF(A56="","",IF(I56&gt;F56,"OVER LIMIT",IF(I56&gt;0,"ACTIVE CREDIT","CLEAR")))</f>
        <v/>
      </c>
    </row>
    <row r="57" spans="9:11" x14ac:dyDescent="0.2">
      <c r="I57" t="str">
        <f>IF(A57="","",E57+G57-H57)</f>
        <v/>
      </c>
      <c r="K57" t="str">
        <f>IF(A57="","",IF(I57&gt;F57,"OVER LIMIT",IF(I57&gt;0,"ACTIVE CREDIT","CLEAR")))</f>
        <v/>
      </c>
    </row>
    <row r="58" spans="9:11" x14ac:dyDescent="0.2">
      <c r="I58" t="str">
        <f>IF(A58="","",E58+G58-H58)</f>
        <v/>
      </c>
      <c r="K58" t="str">
        <f>IF(A58="","",IF(I58&gt;F58,"OVER LIMIT",IF(I58&gt;0,"ACTIVE CREDIT","CLEAR")))</f>
        <v/>
      </c>
    </row>
    <row r="59" spans="9:11" x14ac:dyDescent="0.2">
      <c r="I59" t="str">
        <f>IF(A59="","",E59+G59-H59)</f>
        <v/>
      </c>
      <c r="K59" t="str">
        <f>IF(A59="","",IF(I59&gt;F59,"OVER LIMIT",IF(I59&gt;0,"ACTIVE CREDIT","CLEAR")))</f>
        <v/>
      </c>
    </row>
    <row r="60" spans="9:11" x14ac:dyDescent="0.2">
      <c r="I60" t="str">
        <f>IF(A60="","",E60+G60-H60)</f>
        <v/>
      </c>
      <c r="K60" t="str">
        <f>IF(A60="","",IF(I60&gt;F60,"OVER LIMIT",IF(I60&gt;0,"ACTIVE CREDIT","CLEAR")))</f>
        <v/>
      </c>
    </row>
    <row r="61" spans="9:11" x14ac:dyDescent="0.2">
      <c r="I61" t="str">
        <f>IF(A61="","",E61+G61-H61)</f>
        <v/>
      </c>
      <c r="K61" t="str">
        <f>IF(A61="","",IF(I61&gt;F61,"OVER LIMIT",IF(I61&gt;0,"ACTIVE CREDIT","CLEAR")))</f>
        <v/>
      </c>
    </row>
    <row r="62" spans="9:11" x14ac:dyDescent="0.2">
      <c r="I62" t="str">
        <f>IF(A62="","",E62+G62-H62)</f>
        <v/>
      </c>
      <c r="K62" t="str">
        <f>IF(A62="","",IF(I62&gt;F62,"OVER LIMIT",IF(I62&gt;0,"ACTIVE CREDIT","CLEAR")))</f>
        <v/>
      </c>
    </row>
    <row r="63" spans="9:11" x14ac:dyDescent="0.2">
      <c r="I63" t="str">
        <f>IF(A63="","",E63+G63-H63)</f>
        <v/>
      </c>
      <c r="K63" t="str">
        <f>IF(A63="","",IF(I63&gt;F63,"OVER LIMIT",IF(I63&gt;0,"ACTIVE CREDIT","CLEAR")))</f>
        <v/>
      </c>
    </row>
    <row r="64" spans="9:11" x14ac:dyDescent="0.2">
      <c r="I64" t="str">
        <f>IF(A64="","",E64+G64-H64)</f>
        <v/>
      </c>
      <c r="K64" t="str">
        <f>IF(A64="","",IF(I64&gt;F64,"OVER LIMIT",IF(I64&gt;0,"ACTIVE CREDIT","CLEAR")))</f>
        <v/>
      </c>
    </row>
    <row r="65" spans="9:11" x14ac:dyDescent="0.2">
      <c r="I65" t="str">
        <f>IF(A65="","",E65+G65-H65)</f>
        <v/>
      </c>
      <c r="K65" t="str">
        <f>IF(A65="","",IF(I65&gt;F65,"OVER LIMIT",IF(I65&gt;0,"ACTIVE CREDIT","CLEAR")))</f>
        <v/>
      </c>
    </row>
    <row r="66" spans="9:11" x14ac:dyDescent="0.2">
      <c r="I66" t="str">
        <f>IF(A66="","",E66+G66-H66)</f>
        <v/>
      </c>
      <c r="K66" t="str">
        <f>IF(A66="","",IF(I66&gt;F66,"OVER LIMIT",IF(I66&gt;0,"ACTIVE CREDIT","CLEAR")))</f>
        <v/>
      </c>
    </row>
    <row r="67" spans="9:11" x14ac:dyDescent="0.2">
      <c r="I67" t="str">
        <f>IF(A67="","",E67+G67-H67)</f>
        <v/>
      </c>
      <c r="K67" t="str">
        <f>IF(A67="","",IF(I67&gt;F67,"OVER LIMIT",IF(I67&gt;0,"ACTIVE CREDIT","CLEAR")))</f>
        <v/>
      </c>
    </row>
    <row r="68" spans="9:11" x14ac:dyDescent="0.2">
      <c r="I68" t="str">
        <f>IF(A68="","",E68+G68-H68)</f>
        <v/>
      </c>
      <c r="K68" t="str">
        <f>IF(A68="","",IF(I68&gt;F68,"OVER LIMIT",IF(I68&gt;0,"ACTIVE CREDIT","CLEAR")))</f>
        <v/>
      </c>
    </row>
    <row r="69" spans="9:11" x14ac:dyDescent="0.2">
      <c r="I69" t="str">
        <f>IF(A69="","",E69+G69-H69)</f>
        <v/>
      </c>
      <c r="K69" t="str">
        <f>IF(A69="","",IF(I69&gt;F69,"OVER LIMIT",IF(I69&gt;0,"ACTIVE CREDIT","CLEAR")))</f>
        <v/>
      </c>
    </row>
    <row r="70" spans="9:11" x14ac:dyDescent="0.2">
      <c r="I70" t="str">
        <f>IF(A70="","",E70+G70-H70)</f>
        <v/>
      </c>
      <c r="K70" t="str">
        <f>IF(A70="","",IF(I70&gt;F70,"OVER LIMIT",IF(I70&gt;0,"ACTIVE CREDIT","CLEAR")))</f>
        <v/>
      </c>
    </row>
    <row r="71" spans="9:11" x14ac:dyDescent="0.2">
      <c r="I71" t="str">
        <f>IF(A71="","",E71+G71-H71)</f>
        <v/>
      </c>
      <c r="K71" t="str">
        <f>IF(A71="","",IF(I71&gt;F71,"OVER LIMIT",IF(I71&gt;0,"ACTIVE CREDIT","CLEAR")))</f>
        <v/>
      </c>
    </row>
    <row r="72" spans="9:11" x14ac:dyDescent="0.2">
      <c r="I72" t="str">
        <f>IF(A72="","",E72+G72-H72)</f>
        <v/>
      </c>
      <c r="K72" t="str">
        <f>IF(A72="","",IF(I72&gt;F72,"OVER LIMIT",IF(I72&gt;0,"ACTIVE CREDIT","CLEAR")))</f>
        <v/>
      </c>
    </row>
    <row r="73" spans="9:11" x14ac:dyDescent="0.2">
      <c r="I73" t="str">
        <f>IF(A73="","",E73+G73-H73)</f>
        <v/>
      </c>
      <c r="K73" t="str">
        <f>IF(A73="","",IF(I73&gt;F73,"OVER LIMIT",IF(I73&gt;0,"ACTIVE CREDIT","CLEAR")))</f>
        <v/>
      </c>
    </row>
    <row r="74" spans="9:11" x14ac:dyDescent="0.2">
      <c r="I74" t="str">
        <f>IF(A74="","",E74+G74-H74)</f>
        <v/>
      </c>
      <c r="K74" t="str">
        <f>IF(A74="","",IF(I74&gt;F74,"OVER LIMIT",IF(I74&gt;0,"ACTIVE CREDIT","CLEAR")))</f>
        <v/>
      </c>
    </row>
    <row r="75" spans="9:11" x14ac:dyDescent="0.2">
      <c r="I75" t="str">
        <f>IF(A75="","",E75+G75-H75)</f>
        <v/>
      </c>
      <c r="K75" t="str">
        <f>IF(A75="","",IF(I75&gt;F75,"OVER LIMIT",IF(I75&gt;0,"ACTIVE CREDIT","CLEAR")))</f>
        <v/>
      </c>
    </row>
    <row r="76" spans="9:11" x14ac:dyDescent="0.2">
      <c r="I76" t="str">
        <f>IF(A76="","",E76+G76-H76)</f>
        <v/>
      </c>
      <c r="K76" t="str">
        <f>IF(A76="","",IF(I76&gt;F76,"OVER LIMIT",IF(I76&gt;0,"ACTIVE CREDIT","CLEAR")))</f>
        <v/>
      </c>
    </row>
    <row r="77" spans="9:11" x14ac:dyDescent="0.2">
      <c r="I77" t="str">
        <f>IF(A77="","",E77+G77-H77)</f>
        <v/>
      </c>
      <c r="K77" t="str">
        <f>IF(A77="","",IF(I77&gt;F77,"OVER LIMIT",IF(I77&gt;0,"ACTIVE CREDIT","CLEAR")))</f>
        <v/>
      </c>
    </row>
    <row r="78" spans="9:11" x14ac:dyDescent="0.2">
      <c r="I78" t="str">
        <f>IF(A78="","",E78+G78-H78)</f>
        <v/>
      </c>
      <c r="K78" t="str">
        <f>IF(A78="","",IF(I78&gt;F78,"OVER LIMIT",IF(I78&gt;0,"ACTIVE CREDIT","CLEAR")))</f>
        <v/>
      </c>
    </row>
    <row r="79" spans="9:11" x14ac:dyDescent="0.2">
      <c r="I79" t="str">
        <f>IF(A79="","",E79+G79-H79)</f>
        <v/>
      </c>
      <c r="K79" t="str">
        <f>IF(A79="","",IF(I79&gt;F79,"OVER LIMIT",IF(I79&gt;0,"ACTIVE CREDIT","CLEAR")))</f>
        <v/>
      </c>
    </row>
    <row r="80" spans="9:11" x14ac:dyDescent="0.2">
      <c r="I80" t="str">
        <f>IF(A80="","",E80+G80-H80)</f>
        <v/>
      </c>
      <c r="K80" t="str">
        <f>IF(A80="","",IF(I80&gt;F80,"OVER LIMIT",IF(I80&gt;0,"ACTIVE CREDIT","CLEAR")))</f>
        <v/>
      </c>
    </row>
    <row r="81" spans="9:11" x14ac:dyDescent="0.2">
      <c r="I81" t="str">
        <f>IF(A81="","",E81+G81-H81)</f>
        <v/>
      </c>
      <c r="K81" t="str">
        <f>IF(A81="","",IF(I81&gt;F81,"OVER LIMIT",IF(I81&gt;0,"ACTIVE CREDIT","CLEAR")))</f>
        <v/>
      </c>
    </row>
    <row r="82" spans="9:11" x14ac:dyDescent="0.2">
      <c r="I82" t="str">
        <f>IF(A82="","",E82+G82-H82)</f>
        <v/>
      </c>
      <c r="K82" t="str">
        <f>IF(A82="","",IF(I82&gt;F82,"OVER LIMIT",IF(I82&gt;0,"ACTIVE CREDIT","CLEAR")))</f>
        <v/>
      </c>
    </row>
    <row r="83" spans="9:11" x14ac:dyDescent="0.2">
      <c r="I83" t="str">
        <f>IF(A83="","",E83+G83-H83)</f>
        <v/>
      </c>
      <c r="K83" t="str">
        <f>IF(A83="","",IF(I83&gt;F83,"OVER LIMIT",IF(I83&gt;0,"ACTIVE CREDIT","CLEAR")))</f>
        <v/>
      </c>
    </row>
    <row r="84" spans="9:11" x14ac:dyDescent="0.2">
      <c r="I84" t="str">
        <f>IF(A84="","",E84+G84-H84)</f>
        <v/>
      </c>
      <c r="K84" t="str">
        <f>IF(A84="","",IF(I84&gt;F84,"OVER LIMIT",IF(I84&gt;0,"ACTIVE CREDIT","CLEAR")))</f>
        <v/>
      </c>
    </row>
    <row r="85" spans="9:11" x14ac:dyDescent="0.2">
      <c r="I85" t="str">
        <f>IF(A85="","",E85+G85-H85)</f>
        <v/>
      </c>
      <c r="K85" t="str">
        <f>IF(A85="","",IF(I85&gt;F85,"OVER LIMIT",IF(I85&gt;0,"ACTIVE CREDIT","CLEAR")))</f>
        <v/>
      </c>
    </row>
    <row r="86" spans="9:11" x14ac:dyDescent="0.2">
      <c r="I86" t="str">
        <f>IF(A86="","",E86+G86-H86)</f>
        <v/>
      </c>
      <c r="K86" t="str">
        <f>IF(A86="","",IF(I86&gt;F86,"OVER LIMIT",IF(I86&gt;0,"ACTIVE CREDIT","CLEAR")))</f>
        <v/>
      </c>
    </row>
    <row r="87" spans="9:11" x14ac:dyDescent="0.2">
      <c r="I87" t="str">
        <f>IF(A87="","",E87+G87-H87)</f>
        <v/>
      </c>
      <c r="K87" t="str">
        <f>IF(A87="","",IF(I87&gt;F87,"OVER LIMIT",IF(I87&gt;0,"ACTIVE CREDIT","CLEAR")))</f>
        <v/>
      </c>
    </row>
    <row r="88" spans="9:11" x14ac:dyDescent="0.2">
      <c r="I88" t="str">
        <f>IF(A88="","",E88+G88-H88)</f>
        <v/>
      </c>
      <c r="K88" t="str">
        <f>IF(A88="","",IF(I88&gt;F88,"OVER LIMIT",IF(I88&gt;0,"ACTIVE CREDIT","CLEAR")))</f>
        <v/>
      </c>
    </row>
    <row r="89" spans="9:11" x14ac:dyDescent="0.2">
      <c r="I89" t="str">
        <f>IF(A89="","",E89+G89-H89)</f>
        <v/>
      </c>
      <c r="K89" t="str">
        <f>IF(A89="","",IF(I89&gt;F89,"OVER LIMIT",IF(I89&gt;0,"ACTIVE CREDIT","CLEAR")))</f>
        <v/>
      </c>
    </row>
    <row r="90" spans="9:11" x14ac:dyDescent="0.2">
      <c r="I90" t="str">
        <f>IF(A90="","",E90+G90-H90)</f>
        <v/>
      </c>
      <c r="K90" t="str">
        <f>IF(A90="","",IF(I90&gt;F90,"OVER LIMIT",IF(I90&gt;0,"ACTIVE CREDIT","CLEAR")))</f>
        <v/>
      </c>
    </row>
    <row r="91" spans="9:11" x14ac:dyDescent="0.2">
      <c r="I91" t="str">
        <f>IF(A91="","",E91+G91-H91)</f>
        <v/>
      </c>
      <c r="K91" t="str">
        <f>IF(A91="","",IF(I91&gt;F91,"OVER LIMIT",IF(I91&gt;0,"ACTIVE CREDIT","CLEAR")))</f>
        <v/>
      </c>
    </row>
    <row r="92" spans="9:11" x14ac:dyDescent="0.2">
      <c r="I92" t="str">
        <f>IF(A92="","",E92+G92-H92)</f>
        <v/>
      </c>
      <c r="K92" t="str">
        <f>IF(A92="","",IF(I92&gt;F92,"OVER LIMIT",IF(I92&gt;0,"ACTIVE CREDIT","CLEAR")))</f>
        <v/>
      </c>
    </row>
    <row r="93" spans="9:11" x14ac:dyDescent="0.2">
      <c r="I93" t="str">
        <f>IF(A93="","",E93+G93-H93)</f>
        <v/>
      </c>
      <c r="K93" t="str">
        <f>IF(A93="","",IF(I93&gt;F93,"OVER LIMIT",IF(I93&gt;0,"ACTIVE CREDIT","CLEAR")))</f>
        <v/>
      </c>
    </row>
    <row r="94" spans="9:11" x14ac:dyDescent="0.2">
      <c r="I94" t="str">
        <f>IF(A94="","",E94+G94-H94)</f>
        <v/>
      </c>
      <c r="K94" t="str">
        <f>IF(A94="","",IF(I94&gt;F94,"OVER LIMIT",IF(I94&gt;0,"ACTIVE CREDIT","CLEAR")))</f>
        <v/>
      </c>
    </row>
    <row r="95" spans="9:11" x14ac:dyDescent="0.2">
      <c r="I95" t="str">
        <f>IF(A95="","",E95+G95-H95)</f>
        <v/>
      </c>
      <c r="K95" t="str">
        <f>IF(A95="","",IF(I95&gt;F95,"OVER LIMIT",IF(I95&gt;0,"ACTIVE CREDIT","CLEAR")))</f>
        <v/>
      </c>
    </row>
    <row r="96" spans="9:11" x14ac:dyDescent="0.2">
      <c r="I96" t="str">
        <f>IF(A96="","",E96+G96-H96)</f>
        <v/>
      </c>
      <c r="K96" t="str">
        <f>IF(A96="","",IF(I96&gt;F96,"OVER LIMIT",IF(I96&gt;0,"ACTIVE CREDIT","CLEAR")))</f>
        <v/>
      </c>
    </row>
    <row r="97" spans="9:11" x14ac:dyDescent="0.2">
      <c r="I97" t="str">
        <f>IF(A97="","",E97+G97-H97)</f>
        <v/>
      </c>
      <c r="K97" t="str">
        <f>IF(A97="","",IF(I97&gt;F97,"OVER LIMIT",IF(I97&gt;0,"ACTIVE CREDIT","CLEAR")))</f>
        <v/>
      </c>
    </row>
    <row r="98" spans="9:11" x14ac:dyDescent="0.2">
      <c r="I98" t="str">
        <f>IF(A98="","",E98+G98-H98)</f>
        <v/>
      </c>
      <c r="K98" t="str">
        <f>IF(A98="","",IF(I98&gt;F98,"OVER LIMIT",IF(I98&gt;0,"ACTIVE CREDIT","CLEAR")))</f>
        <v/>
      </c>
    </row>
    <row r="99" spans="9:11" x14ac:dyDescent="0.2">
      <c r="I99" t="str">
        <f>IF(A99="","",E99+G99-H99)</f>
        <v/>
      </c>
      <c r="K99" t="str">
        <f>IF(A99="","",IF(I99&gt;F99,"OVER LIMIT",IF(I99&gt;0,"ACTIVE CREDIT","CLEAR")))</f>
        <v/>
      </c>
    </row>
    <row r="100" spans="9:11" x14ac:dyDescent="0.2">
      <c r="I100" t="str">
        <f>IF(A100="","",E100+G100-H100)</f>
        <v/>
      </c>
      <c r="K100" t="str">
        <f>IF(A100="","",IF(I100&gt;F100,"OVER LIMIT",IF(I100&gt;0,"ACTIVE CREDIT","CLEAR")))</f>
        <v/>
      </c>
    </row>
    <row r="101" spans="9:11" x14ac:dyDescent="0.2">
      <c r="I101" t="str">
        <f>IF(A101="","",E101+G101-H101)</f>
        <v/>
      </c>
      <c r="K101" t="str">
        <f>IF(A101="","",IF(I101&gt;F101,"OVER LIMIT",IF(I101&gt;0,"ACTIVE CREDIT","CLEAR")))</f>
        <v/>
      </c>
    </row>
    <row r="102" spans="9:11" x14ac:dyDescent="0.2">
      <c r="I102" t="str">
        <f>IF(A102="","",E102+G102-H102)</f>
        <v/>
      </c>
      <c r="K102" t="str">
        <f>IF(A102="","",IF(I102&gt;F102,"OVER LIMIT",IF(I102&gt;0,"ACTIVE CREDIT","CLEAR")))</f>
        <v/>
      </c>
    </row>
    <row r="103" spans="9:11" x14ac:dyDescent="0.2">
      <c r="I103" t="str">
        <f>IF(A103="","",E103+G103-H103)</f>
        <v/>
      </c>
      <c r="K103" t="str">
        <f>IF(A103="","",IF(I103&gt;F103,"OVER LIMIT",IF(I103&gt;0,"ACTIVE CREDIT","CLEAR")))</f>
        <v/>
      </c>
    </row>
    <row r="104" spans="9:11" x14ac:dyDescent="0.2">
      <c r="I104" t="str">
        <f>IF(A104="","",E104+G104-H104)</f>
        <v/>
      </c>
      <c r="K104" t="str">
        <f>IF(A104="","",IF(I104&gt;F104,"OVER LIMIT",IF(I104&gt;0,"ACTIVE CREDIT","CLEAR")))</f>
        <v/>
      </c>
    </row>
    <row r="105" spans="9:11" x14ac:dyDescent="0.2">
      <c r="I105" t="str">
        <f>IF(A105="","",E105+G105-H105)</f>
        <v/>
      </c>
      <c r="K105" t="str">
        <f>IF(A105="","",IF(I105&gt;F105,"OVER LIMIT",IF(I105&gt;0,"ACTIVE CREDIT","CLEAR")))</f>
        <v/>
      </c>
    </row>
    <row r="106" spans="9:11" x14ac:dyDescent="0.2">
      <c r="I106" t="str">
        <f>IF(A106="","",E106+G106-H106)</f>
        <v/>
      </c>
      <c r="K106" t="str">
        <f>IF(A106="","",IF(I106&gt;F106,"OVER LIMIT",IF(I106&gt;0,"ACTIVE CREDIT","CLEAR")))</f>
        <v/>
      </c>
    </row>
    <row r="107" spans="9:11" x14ac:dyDescent="0.2">
      <c r="I107" t="str">
        <f>IF(A107="","",E107+G107-H107)</f>
        <v/>
      </c>
      <c r="K107" t="str">
        <f>IF(A107="","",IF(I107&gt;F107,"OVER LIMIT",IF(I107&gt;0,"ACTIVE CREDIT","CLEAR")))</f>
        <v/>
      </c>
    </row>
    <row r="108" spans="9:11" x14ac:dyDescent="0.2">
      <c r="I108" t="str">
        <f>IF(A108="","",E108+G108-H108)</f>
        <v/>
      </c>
      <c r="K108" t="str">
        <f>IF(A108="","",IF(I108&gt;F108,"OVER LIMIT",IF(I108&gt;0,"ACTIVE CREDIT","CLEAR")))</f>
        <v/>
      </c>
    </row>
    <row r="109" spans="9:11" x14ac:dyDescent="0.2">
      <c r="I109" t="str">
        <f>IF(A109="","",E109+G109-H109)</f>
        <v/>
      </c>
      <c r="K109" t="str">
        <f>IF(A109="","",IF(I109&gt;F109,"OVER LIMIT",IF(I109&gt;0,"ACTIVE CREDIT","CLEAR")))</f>
        <v/>
      </c>
    </row>
    <row r="110" spans="9:11" x14ac:dyDescent="0.2">
      <c r="I110" t="str">
        <f>IF(A110="","",E110+G110-H110)</f>
        <v/>
      </c>
      <c r="K110" t="str">
        <f>IF(A110="","",IF(I110&gt;F110,"OVER LIMIT",IF(I110&gt;0,"ACTIVE CREDIT","CLEAR")))</f>
        <v/>
      </c>
    </row>
    <row r="111" spans="9:11" x14ac:dyDescent="0.2">
      <c r="I111" t="str">
        <f>IF(A111="","",E111+G111-H111)</f>
        <v/>
      </c>
      <c r="K111" t="str">
        <f>IF(A111="","",IF(I111&gt;F111,"OVER LIMIT",IF(I111&gt;0,"ACTIVE CREDIT","CLEAR")))</f>
        <v/>
      </c>
    </row>
    <row r="112" spans="9:11" x14ac:dyDescent="0.2">
      <c r="I112" t="str">
        <f>IF(A112="","",E112+G112-H112)</f>
        <v/>
      </c>
      <c r="K112" t="str">
        <f>IF(A112="","",IF(I112&gt;F112,"OVER LIMIT",IF(I112&gt;0,"ACTIVE CREDIT","CLEAR")))</f>
        <v/>
      </c>
    </row>
    <row r="113" spans="9:11" x14ac:dyDescent="0.2">
      <c r="I113" t="str">
        <f>IF(A113="","",E113+G113-H113)</f>
        <v/>
      </c>
      <c r="K113" t="str">
        <f>IF(A113="","",IF(I113&gt;F113,"OVER LIMIT",IF(I113&gt;0,"ACTIVE CREDIT","CLEAR")))</f>
        <v/>
      </c>
    </row>
    <row r="114" spans="9:11" x14ac:dyDescent="0.2">
      <c r="I114" t="str">
        <f>IF(A114="","",E114+G114-H114)</f>
        <v/>
      </c>
      <c r="K114" t="str">
        <f>IF(A114="","",IF(I114&gt;F114,"OVER LIMIT",IF(I114&gt;0,"ACTIVE CREDIT","CLEAR")))</f>
        <v/>
      </c>
    </row>
    <row r="115" spans="9:11" x14ac:dyDescent="0.2">
      <c r="I115" t="str">
        <f>IF(A115="","",E115+G115-H115)</f>
        <v/>
      </c>
      <c r="K115" t="str">
        <f>IF(A115="","",IF(I115&gt;F115,"OVER LIMIT",IF(I115&gt;0,"ACTIVE CREDIT","CLEAR")))</f>
        <v/>
      </c>
    </row>
    <row r="116" spans="9:11" x14ac:dyDescent="0.2">
      <c r="I116" t="str">
        <f>IF(A116="","",E116+G116-H116)</f>
        <v/>
      </c>
      <c r="K116" t="str">
        <f>IF(A116="","",IF(I116&gt;F116,"OVER LIMIT",IF(I116&gt;0,"ACTIVE CREDIT","CLEAR")))</f>
        <v/>
      </c>
    </row>
    <row r="117" spans="9:11" x14ac:dyDescent="0.2">
      <c r="I117" t="str">
        <f>IF(A117="","",E117+G117-H117)</f>
        <v/>
      </c>
      <c r="K117" t="str">
        <f>IF(A117="","",IF(I117&gt;F117,"OVER LIMIT",IF(I117&gt;0,"ACTIVE CREDIT","CLEAR")))</f>
        <v/>
      </c>
    </row>
    <row r="118" spans="9:11" x14ac:dyDescent="0.2">
      <c r="I118" t="str">
        <f>IF(A118="","",E118+G118-H118)</f>
        <v/>
      </c>
      <c r="K118" t="str">
        <f>IF(A118="","",IF(I118&gt;F118,"OVER LIMIT",IF(I118&gt;0,"ACTIVE CREDIT","CLEAR")))</f>
        <v/>
      </c>
    </row>
    <row r="119" spans="9:11" x14ac:dyDescent="0.2">
      <c r="I119" t="str">
        <f>IF(A119="","",E119+G119-H119)</f>
        <v/>
      </c>
      <c r="K119" t="str">
        <f>IF(A119="","",IF(I119&gt;F119,"OVER LIMIT",IF(I119&gt;0,"ACTIVE CREDIT","CLEAR")))</f>
        <v/>
      </c>
    </row>
    <row r="120" spans="9:11" x14ac:dyDescent="0.2">
      <c r="I120" t="str">
        <f>IF(A120="","",E120+G120-H120)</f>
        <v/>
      </c>
      <c r="K120" t="str">
        <f>IF(A120="","",IF(I120&gt;F120,"OVER LIMIT",IF(I120&gt;0,"ACTIVE CREDIT","CLEAR")))</f>
        <v/>
      </c>
    </row>
    <row r="121" spans="9:11" x14ac:dyDescent="0.2">
      <c r="I121" t="str">
        <f>IF(A121="","",E121+G121-H121)</f>
        <v/>
      </c>
      <c r="K121" t="str">
        <f>IF(A121="","",IF(I121&gt;F121,"OVER LIMIT",IF(I121&gt;0,"ACTIVE CREDIT","CLEAR")))</f>
        <v/>
      </c>
    </row>
    <row r="122" spans="9:11" x14ac:dyDescent="0.2">
      <c r="I122" t="str">
        <f>IF(A122="","",E122+G122-H122)</f>
        <v/>
      </c>
      <c r="K122" t="str">
        <f>IF(A122="","",IF(I122&gt;F122,"OVER LIMIT",IF(I122&gt;0,"ACTIVE CREDIT","CLEAR")))</f>
        <v/>
      </c>
    </row>
    <row r="123" spans="9:11" x14ac:dyDescent="0.2">
      <c r="I123" t="str">
        <f>IF(A123="","",E123+G123-H123)</f>
        <v/>
      </c>
      <c r="K123" t="str">
        <f>IF(A123="","",IF(I123&gt;F123,"OVER LIMIT",IF(I123&gt;0,"ACTIVE CREDIT","CLEAR")))</f>
        <v/>
      </c>
    </row>
    <row r="124" spans="9:11" x14ac:dyDescent="0.2">
      <c r="I124" t="str">
        <f>IF(A124="","",E124+G124-H124)</f>
        <v/>
      </c>
      <c r="K124" t="str">
        <f>IF(A124="","",IF(I124&gt;F124,"OVER LIMIT",IF(I124&gt;0,"ACTIVE CREDIT","CLEAR")))</f>
        <v/>
      </c>
    </row>
    <row r="125" spans="9:11" x14ac:dyDescent="0.2">
      <c r="I125" t="str">
        <f>IF(A125="","",E125+G125-H125)</f>
        <v/>
      </c>
      <c r="K125" t="str">
        <f>IF(A125="","",IF(I125&gt;F125,"OVER LIMIT",IF(I125&gt;0,"ACTIVE CREDIT","CLEAR")))</f>
        <v/>
      </c>
    </row>
    <row r="126" spans="9:11" x14ac:dyDescent="0.2">
      <c r="I126" t="str">
        <f>IF(A126="","",E126+G126-H126)</f>
        <v/>
      </c>
      <c r="K126" t="str">
        <f>IF(A126="","",IF(I126&gt;F126,"OVER LIMIT",IF(I126&gt;0,"ACTIVE CREDIT","CLEAR")))</f>
        <v/>
      </c>
    </row>
    <row r="127" spans="9:11" x14ac:dyDescent="0.2">
      <c r="I127" t="str">
        <f>IF(A127="","",E127+G127-H127)</f>
        <v/>
      </c>
      <c r="K127" t="str">
        <f>IF(A127="","",IF(I127&gt;F127,"OVER LIMIT",IF(I127&gt;0,"ACTIVE CREDIT","CLEAR")))</f>
        <v/>
      </c>
    </row>
    <row r="128" spans="9:11" x14ac:dyDescent="0.2">
      <c r="I128" t="str">
        <f>IF(A128="","",E128+G128-H128)</f>
        <v/>
      </c>
      <c r="K128" t="str">
        <f>IF(A128="","",IF(I128&gt;F128,"OVER LIMIT",IF(I128&gt;0,"ACTIVE CREDIT","CLEAR")))</f>
        <v/>
      </c>
    </row>
    <row r="129" spans="9:11" x14ac:dyDescent="0.2">
      <c r="I129" t="str">
        <f>IF(A129="","",E129+G129-H129)</f>
        <v/>
      </c>
      <c r="K129" t="str">
        <f>IF(A129="","",IF(I129&gt;F129,"OVER LIMIT",IF(I129&gt;0,"ACTIVE CREDIT","CLEAR")))</f>
        <v/>
      </c>
    </row>
    <row r="130" spans="9:11" x14ac:dyDescent="0.2">
      <c r="I130" t="str">
        <f>IF(A130="","",E130+G130-H130)</f>
        <v/>
      </c>
      <c r="K130" t="str">
        <f>IF(A130="","",IF(I130&gt;F130,"OVER LIMIT",IF(I130&gt;0,"ACTIVE CREDIT","CLEAR")))</f>
        <v/>
      </c>
    </row>
    <row r="131" spans="9:11" x14ac:dyDescent="0.2">
      <c r="I131" t="str">
        <f>IF(A131="","",E131+G131-H131)</f>
        <v/>
      </c>
      <c r="K131" t="str">
        <f>IF(A131="","",IF(I131&gt;F131,"OVER LIMIT",IF(I131&gt;0,"ACTIVE CREDIT","CLEAR")))</f>
        <v/>
      </c>
    </row>
    <row r="132" spans="9:11" x14ac:dyDescent="0.2">
      <c r="I132" t="str">
        <f>IF(A132="","",E132+G132-H132)</f>
        <v/>
      </c>
      <c r="K132" t="str">
        <f>IF(A132="","",IF(I132&gt;F132,"OVER LIMIT",IF(I132&gt;0,"ACTIVE CREDIT","CLEAR")))</f>
        <v/>
      </c>
    </row>
    <row r="133" spans="9:11" x14ac:dyDescent="0.2">
      <c r="I133" t="str">
        <f>IF(A133="","",E133+G133-H133)</f>
        <v/>
      </c>
      <c r="K133" t="str">
        <f>IF(A133="","",IF(I133&gt;F133,"OVER LIMIT",IF(I133&gt;0,"ACTIVE CREDIT","CLEAR")))</f>
        <v/>
      </c>
    </row>
    <row r="134" spans="9:11" x14ac:dyDescent="0.2">
      <c r="I134" t="str">
        <f>IF(A134="","",E134+G134-H134)</f>
        <v/>
      </c>
      <c r="K134" t="str">
        <f>IF(A134="","",IF(I134&gt;F134,"OVER LIMIT",IF(I134&gt;0,"ACTIVE CREDIT","CLEAR")))</f>
        <v/>
      </c>
    </row>
    <row r="135" spans="9:11" x14ac:dyDescent="0.2">
      <c r="I135" t="str">
        <f>IF(A135="","",E135+G135-H135)</f>
        <v/>
      </c>
      <c r="K135" t="str">
        <f>IF(A135="","",IF(I135&gt;F135,"OVER LIMIT",IF(I135&gt;0,"ACTIVE CREDIT","CLEAR")))</f>
        <v/>
      </c>
    </row>
    <row r="136" spans="9:11" x14ac:dyDescent="0.2">
      <c r="I136" t="str">
        <f>IF(A136="","",E136+G136-H136)</f>
        <v/>
      </c>
      <c r="K136" t="str">
        <f>IF(A136="","",IF(I136&gt;F136,"OVER LIMIT",IF(I136&gt;0,"ACTIVE CREDIT","CLEAR")))</f>
        <v/>
      </c>
    </row>
    <row r="137" spans="9:11" x14ac:dyDescent="0.2">
      <c r="I137" t="str">
        <f>IF(A137="","",E137+G137-H137)</f>
        <v/>
      </c>
      <c r="K137" t="str">
        <f>IF(A137="","",IF(I137&gt;F137,"OVER LIMIT",IF(I137&gt;0,"ACTIVE CREDIT","CLEAR")))</f>
        <v/>
      </c>
    </row>
    <row r="138" spans="9:11" x14ac:dyDescent="0.2">
      <c r="I138" t="str">
        <f>IF(A138="","",E138+G138-H138)</f>
        <v/>
      </c>
      <c r="K138" t="str">
        <f>IF(A138="","",IF(I138&gt;F138,"OVER LIMIT",IF(I138&gt;0,"ACTIVE CREDIT","CLEAR")))</f>
        <v/>
      </c>
    </row>
    <row r="139" spans="9:11" x14ac:dyDescent="0.2">
      <c r="I139" t="str">
        <f>IF(A139="","",E139+G139-H139)</f>
        <v/>
      </c>
      <c r="K139" t="str">
        <f>IF(A139="","",IF(I139&gt;F139,"OVER LIMIT",IF(I139&gt;0,"ACTIVE CREDIT","CLEAR")))</f>
        <v/>
      </c>
    </row>
    <row r="140" spans="9:11" x14ac:dyDescent="0.2">
      <c r="I140" t="str">
        <f>IF(A140="","",E140+G140-H140)</f>
        <v/>
      </c>
      <c r="K140" t="str">
        <f>IF(A140="","",IF(I140&gt;F140,"OVER LIMIT",IF(I140&gt;0,"ACTIVE CREDIT","CLEAR")))</f>
        <v/>
      </c>
    </row>
    <row r="141" spans="9:11" x14ac:dyDescent="0.2">
      <c r="I141" t="str">
        <f>IF(A141="","",E141+G141-H141)</f>
        <v/>
      </c>
      <c r="K141" t="str">
        <f>IF(A141="","",IF(I141&gt;F141,"OVER LIMIT",IF(I141&gt;0,"ACTIVE CREDIT","CLEAR")))</f>
        <v/>
      </c>
    </row>
    <row r="142" spans="9:11" x14ac:dyDescent="0.2">
      <c r="I142" t="str">
        <f>IF(A142="","",E142+G142-H142)</f>
        <v/>
      </c>
      <c r="K142" t="str">
        <f>IF(A142="","",IF(I142&gt;F142,"OVER LIMIT",IF(I142&gt;0,"ACTIVE CREDIT","CLEAR")))</f>
        <v/>
      </c>
    </row>
    <row r="143" spans="9:11" x14ac:dyDescent="0.2">
      <c r="I143" t="str">
        <f>IF(A143="","",E143+G143-H143)</f>
        <v/>
      </c>
      <c r="K143" t="str">
        <f>IF(A143="","",IF(I143&gt;F143,"OVER LIMIT",IF(I143&gt;0,"ACTIVE CREDIT","CLEAR")))</f>
        <v/>
      </c>
    </row>
    <row r="144" spans="9:11" x14ac:dyDescent="0.2">
      <c r="I144" t="str">
        <f>IF(A144="","",E144+G144-H144)</f>
        <v/>
      </c>
      <c r="K144" t="str">
        <f>IF(A144="","",IF(I144&gt;F144,"OVER LIMIT",IF(I144&gt;0,"ACTIVE CREDIT","CLEAR")))</f>
        <v/>
      </c>
    </row>
    <row r="145" spans="9:11" x14ac:dyDescent="0.2">
      <c r="I145" t="str">
        <f>IF(A145="","",E145+G145-H145)</f>
        <v/>
      </c>
      <c r="K145" t="str">
        <f>IF(A145="","",IF(I145&gt;F145,"OVER LIMIT",IF(I145&gt;0,"ACTIVE CREDIT","CLEAR")))</f>
        <v/>
      </c>
    </row>
    <row r="146" spans="9:11" x14ac:dyDescent="0.2">
      <c r="I146" t="str">
        <f>IF(A146="","",E146+G146-H146)</f>
        <v/>
      </c>
      <c r="K146" t="str">
        <f>IF(A146="","",IF(I146&gt;F146,"OVER LIMIT",IF(I146&gt;0,"ACTIVE CREDIT","CLEAR")))</f>
        <v/>
      </c>
    </row>
    <row r="147" spans="9:11" x14ac:dyDescent="0.2">
      <c r="I147" t="str">
        <f>IF(A147="","",E147+G147-H147)</f>
        <v/>
      </c>
      <c r="K147" t="str">
        <f>IF(A147="","",IF(I147&gt;F147,"OVER LIMIT",IF(I147&gt;0,"ACTIVE CREDIT","CLEAR")))</f>
        <v/>
      </c>
    </row>
    <row r="148" spans="9:11" x14ac:dyDescent="0.2">
      <c r="I148" t="str">
        <f>IF(A148="","",E148+G148-H148)</f>
        <v/>
      </c>
      <c r="K148" t="str">
        <f>IF(A148="","",IF(I148&gt;F148,"OVER LIMIT",IF(I148&gt;0,"ACTIVE CREDIT","CLEAR")))</f>
        <v/>
      </c>
    </row>
    <row r="149" spans="9:11" x14ac:dyDescent="0.2">
      <c r="I149" t="str">
        <f>IF(A149="","",E149+G149-H149)</f>
        <v/>
      </c>
      <c r="K149" t="str">
        <f>IF(A149="","",IF(I149&gt;F149,"OVER LIMIT",IF(I149&gt;0,"ACTIVE CREDIT","CLEAR")))</f>
        <v/>
      </c>
    </row>
    <row r="150" spans="9:11" x14ac:dyDescent="0.2">
      <c r="I150" t="str">
        <f>IF(A150="","",E150+G150-H150)</f>
        <v/>
      </c>
      <c r="K150" t="str">
        <f>IF(A150="","",IF(I150&gt;F150,"OVER LIMIT",IF(I150&gt;0,"ACTIVE CREDIT","CLEAR")))</f>
        <v/>
      </c>
    </row>
    <row r="151" spans="9:11" x14ac:dyDescent="0.2">
      <c r="I151" t="str">
        <f>IF(A151="","",E151+G151-H151)</f>
        <v/>
      </c>
      <c r="K151" t="str">
        <f>IF(A151="","",IF(I151&gt;F151,"OVER LIMIT",IF(I151&gt;0,"ACTIVE CREDIT","CLEAR")))</f>
        <v/>
      </c>
    </row>
    <row r="152" spans="9:11" x14ac:dyDescent="0.2">
      <c r="I152" t="str">
        <f>IF(A152="","",E152+G152-H152)</f>
        <v/>
      </c>
      <c r="K152" t="str">
        <f>IF(A152="","",IF(I152&gt;F152,"OVER LIMIT",IF(I152&gt;0,"ACTIVE CREDIT","CLEAR")))</f>
        <v/>
      </c>
    </row>
    <row r="153" spans="9:11" x14ac:dyDescent="0.2">
      <c r="I153" t="str">
        <f>IF(A153="","",E153+G153-H153)</f>
        <v/>
      </c>
      <c r="K153" t="str">
        <f>IF(A153="","",IF(I153&gt;F153,"OVER LIMIT",IF(I153&gt;0,"ACTIVE CREDIT","CLEAR")))</f>
        <v/>
      </c>
    </row>
    <row r="154" spans="9:11" x14ac:dyDescent="0.2">
      <c r="I154" t="str">
        <f>IF(A154="","",E154+G154-H154)</f>
        <v/>
      </c>
      <c r="K154" t="str">
        <f>IF(A154="","",IF(I154&gt;F154,"OVER LIMIT",IF(I154&gt;0,"ACTIVE CREDIT","CLEAR")))</f>
        <v/>
      </c>
    </row>
    <row r="155" spans="9:11" x14ac:dyDescent="0.2">
      <c r="I155" t="str">
        <f>IF(A155="","",E155+G155-H155)</f>
        <v/>
      </c>
      <c r="K155" t="str">
        <f>IF(A155="","",IF(I155&gt;F155,"OVER LIMIT",IF(I155&gt;0,"ACTIVE CREDIT","CLEAR")))</f>
        <v/>
      </c>
    </row>
    <row r="156" spans="9:11" x14ac:dyDescent="0.2">
      <c r="I156" t="str">
        <f>IF(A156="","",E156+G156-H156)</f>
        <v/>
      </c>
      <c r="K156" t="str">
        <f>IF(A156="","",IF(I156&gt;F156,"OVER LIMIT",IF(I156&gt;0,"ACTIVE CREDIT","CLEAR")))</f>
        <v/>
      </c>
    </row>
    <row r="157" spans="9:11" x14ac:dyDescent="0.2">
      <c r="I157" t="str">
        <f>IF(A157="","",E157+G157-H157)</f>
        <v/>
      </c>
      <c r="K157" t="str">
        <f>IF(A157="","",IF(I157&gt;F157,"OVER LIMIT",IF(I157&gt;0,"ACTIVE CREDIT","CLEAR")))</f>
        <v/>
      </c>
    </row>
    <row r="158" spans="9:11" x14ac:dyDescent="0.2">
      <c r="I158" t="str">
        <f>IF(A158="","",E158+G158-H158)</f>
        <v/>
      </c>
      <c r="K158" t="str">
        <f>IF(A158="","",IF(I158&gt;F158,"OVER LIMIT",IF(I158&gt;0,"ACTIVE CREDIT","CLEAR")))</f>
        <v/>
      </c>
    </row>
    <row r="159" spans="9:11" x14ac:dyDescent="0.2">
      <c r="I159" t="str">
        <f>IF(A159="","",E159+G159-H159)</f>
        <v/>
      </c>
      <c r="K159" t="str">
        <f>IF(A159="","",IF(I159&gt;F159,"OVER LIMIT",IF(I159&gt;0,"ACTIVE CREDIT","CLEAR")))</f>
        <v/>
      </c>
    </row>
    <row r="160" spans="9:11" x14ac:dyDescent="0.2">
      <c r="I160" t="str">
        <f>IF(A160="","",E160+G160-H160)</f>
        <v/>
      </c>
      <c r="K160" t="str">
        <f>IF(A160="","",IF(I160&gt;F160,"OVER LIMIT",IF(I160&gt;0,"ACTIVE CREDIT","CLEAR")))</f>
        <v/>
      </c>
    </row>
    <row r="161" spans="9:11" x14ac:dyDescent="0.2">
      <c r="I161" t="str">
        <f>IF(A161="","",E161+G161-H161)</f>
        <v/>
      </c>
      <c r="K161" t="str">
        <f>IF(A161="","",IF(I161&gt;F161,"OVER LIMIT",IF(I161&gt;0,"ACTIVE CREDIT","CLEAR")))</f>
        <v/>
      </c>
    </row>
    <row r="162" spans="9:11" x14ac:dyDescent="0.2">
      <c r="I162" t="str">
        <f>IF(A162="","",E162+G162-H162)</f>
        <v/>
      </c>
      <c r="K162" t="str">
        <f>IF(A162="","",IF(I162&gt;F162,"OVER LIMIT",IF(I162&gt;0,"ACTIVE CREDIT","CLEAR")))</f>
        <v/>
      </c>
    </row>
    <row r="163" spans="9:11" x14ac:dyDescent="0.2">
      <c r="I163" t="str">
        <f>IF(A163="","",E163+G163-H163)</f>
        <v/>
      </c>
      <c r="K163" t="str">
        <f>IF(A163="","",IF(I163&gt;F163,"OVER LIMIT",IF(I163&gt;0,"ACTIVE CREDIT","CLEAR")))</f>
        <v/>
      </c>
    </row>
    <row r="164" spans="9:11" x14ac:dyDescent="0.2">
      <c r="I164" t="str">
        <f>IF(A164="","",E164+G164-H164)</f>
        <v/>
      </c>
      <c r="K164" t="str">
        <f>IF(A164="","",IF(I164&gt;F164,"OVER LIMIT",IF(I164&gt;0,"ACTIVE CREDIT","CLEAR")))</f>
        <v/>
      </c>
    </row>
    <row r="165" spans="9:11" x14ac:dyDescent="0.2">
      <c r="I165" t="str">
        <f>IF(A165="","",E165+G165-H165)</f>
        <v/>
      </c>
      <c r="K165" t="str">
        <f>IF(A165="","",IF(I165&gt;F165,"OVER LIMIT",IF(I165&gt;0,"ACTIVE CREDIT","CLEAR")))</f>
        <v/>
      </c>
    </row>
    <row r="166" spans="9:11" x14ac:dyDescent="0.2">
      <c r="I166" t="str">
        <f>IF(A166="","",E166+G166-H166)</f>
        <v/>
      </c>
      <c r="K166" t="str">
        <f>IF(A166="","",IF(I166&gt;F166,"OVER LIMIT",IF(I166&gt;0,"ACTIVE CREDIT","CLEAR")))</f>
        <v/>
      </c>
    </row>
    <row r="167" spans="9:11" x14ac:dyDescent="0.2">
      <c r="I167" t="str">
        <f>IF(A167="","",E167+G167-H167)</f>
        <v/>
      </c>
      <c r="K167" t="str">
        <f>IF(A167="","",IF(I167&gt;F167,"OVER LIMIT",IF(I167&gt;0,"ACTIVE CREDIT","CLEAR")))</f>
        <v/>
      </c>
    </row>
    <row r="168" spans="9:11" x14ac:dyDescent="0.2">
      <c r="I168" t="str">
        <f>IF(A168="","",E168+G168-H168)</f>
        <v/>
      </c>
      <c r="K168" t="str">
        <f>IF(A168="","",IF(I168&gt;F168,"OVER LIMIT",IF(I168&gt;0,"ACTIVE CREDIT","CLEAR")))</f>
        <v/>
      </c>
    </row>
    <row r="169" spans="9:11" x14ac:dyDescent="0.2">
      <c r="I169" t="str">
        <f>IF(A169="","",E169+G169-H169)</f>
        <v/>
      </c>
      <c r="K169" t="str">
        <f>IF(A169="","",IF(I169&gt;F169,"OVER LIMIT",IF(I169&gt;0,"ACTIVE CREDIT","CLEAR")))</f>
        <v/>
      </c>
    </row>
    <row r="170" spans="9:11" x14ac:dyDescent="0.2">
      <c r="I170" t="str">
        <f>IF(A170="","",E170+G170-H170)</f>
        <v/>
      </c>
      <c r="K170" t="str">
        <f>IF(A170="","",IF(I170&gt;F170,"OVER LIMIT",IF(I170&gt;0,"ACTIVE CREDIT","CLEAR")))</f>
        <v/>
      </c>
    </row>
    <row r="171" spans="9:11" x14ac:dyDescent="0.2">
      <c r="I171" t="str">
        <f>IF(A171="","",E171+G171-H171)</f>
        <v/>
      </c>
      <c r="K171" t="str">
        <f>IF(A171="","",IF(I171&gt;F171,"OVER LIMIT",IF(I171&gt;0,"ACTIVE CREDIT","CLEAR")))</f>
        <v/>
      </c>
    </row>
    <row r="172" spans="9:11" x14ac:dyDescent="0.2">
      <c r="I172" t="str">
        <f>IF(A172="","",E172+G172-H172)</f>
        <v/>
      </c>
      <c r="K172" t="str">
        <f>IF(A172="","",IF(I172&gt;F172,"OVER LIMIT",IF(I172&gt;0,"ACTIVE CREDIT","CLEAR")))</f>
        <v/>
      </c>
    </row>
    <row r="173" spans="9:11" x14ac:dyDescent="0.2">
      <c r="I173" t="str">
        <f>IF(A173="","",E173+G173-H173)</f>
        <v/>
      </c>
      <c r="K173" t="str">
        <f>IF(A173="","",IF(I173&gt;F173,"OVER LIMIT",IF(I173&gt;0,"ACTIVE CREDIT","CLEAR")))</f>
        <v/>
      </c>
    </row>
    <row r="174" spans="9:11" x14ac:dyDescent="0.2">
      <c r="I174" t="str">
        <f>IF(A174="","",E174+G174-H174)</f>
        <v/>
      </c>
      <c r="K174" t="str">
        <f>IF(A174="","",IF(I174&gt;F174,"OVER LIMIT",IF(I174&gt;0,"ACTIVE CREDIT","CLEAR")))</f>
        <v/>
      </c>
    </row>
    <row r="175" spans="9:11" x14ac:dyDescent="0.2">
      <c r="I175" t="str">
        <f>IF(A175="","",E175+G175-H175)</f>
        <v/>
      </c>
      <c r="K175" t="str">
        <f>IF(A175="","",IF(I175&gt;F175,"OVER LIMIT",IF(I175&gt;0,"ACTIVE CREDIT","CLEAR")))</f>
        <v/>
      </c>
    </row>
    <row r="176" spans="9:11" x14ac:dyDescent="0.2">
      <c r="I176" t="str">
        <f>IF(A176="","",E176+G176-H176)</f>
        <v/>
      </c>
      <c r="K176" t="str">
        <f>IF(A176="","",IF(I176&gt;F176,"OVER LIMIT",IF(I176&gt;0,"ACTIVE CREDIT","CLEAR")))</f>
        <v/>
      </c>
    </row>
    <row r="177" spans="9:11" x14ac:dyDescent="0.2">
      <c r="I177" t="str">
        <f>IF(A177="","",E177+G177-H177)</f>
        <v/>
      </c>
      <c r="K177" t="str">
        <f>IF(A177="","",IF(I177&gt;F177,"OVER LIMIT",IF(I177&gt;0,"ACTIVE CREDIT","CLEAR")))</f>
        <v/>
      </c>
    </row>
    <row r="178" spans="9:11" x14ac:dyDescent="0.2">
      <c r="I178" t="str">
        <f>IF(A178="","",E178+G178-H178)</f>
        <v/>
      </c>
      <c r="K178" t="str">
        <f>IF(A178="","",IF(I178&gt;F178,"OVER LIMIT",IF(I178&gt;0,"ACTIVE CREDIT","CLEAR")))</f>
        <v/>
      </c>
    </row>
    <row r="179" spans="9:11" x14ac:dyDescent="0.2">
      <c r="I179" t="str">
        <f>IF(A179="","",E179+G179-H179)</f>
        <v/>
      </c>
      <c r="K179" t="str">
        <f>IF(A179="","",IF(I179&gt;F179,"OVER LIMIT",IF(I179&gt;0,"ACTIVE CREDIT","CLEAR")))</f>
        <v/>
      </c>
    </row>
    <row r="180" spans="9:11" x14ac:dyDescent="0.2">
      <c r="I180" t="str">
        <f>IF(A180="","",E180+G180-H180)</f>
        <v/>
      </c>
      <c r="K180" t="str">
        <f>IF(A180="","",IF(I180&gt;F180,"OVER LIMIT",IF(I180&gt;0,"ACTIVE CREDIT","CLEAR")))</f>
        <v/>
      </c>
    </row>
    <row r="181" spans="9:11" x14ac:dyDescent="0.2">
      <c r="I181" t="str">
        <f>IF(A181="","",E181+G181-H181)</f>
        <v/>
      </c>
      <c r="K181" t="str">
        <f>IF(A181="","",IF(I181&gt;F181,"OVER LIMIT",IF(I181&gt;0,"ACTIVE CREDIT","CLEAR")))</f>
        <v/>
      </c>
    </row>
    <row r="182" spans="9:11" x14ac:dyDescent="0.2">
      <c r="I182" t="str">
        <f>IF(A182="","",E182+G182-H182)</f>
        <v/>
      </c>
      <c r="K182" t="str">
        <f>IF(A182="","",IF(I182&gt;F182,"OVER LIMIT",IF(I182&gt;0,"ACTIVE CREDIT","CLEAR")))</f>
        <v/>
      </c>
    </row>
    <row r="183" spans="9:11" x14ac:dyDescent="0.2">
      <c r="I183" t="str">
        <f>IF(A183="","",E183+G183-H183)</f>
        <v/>
      </c>
      <c r="K183" t="str">
        <f>IF(A183="","",IF(I183&gt;F183,"OVER LIMIT",IF(I183&gt;0,"ACTIVE CREDIT","CLEAR")))</f>
        <v/>
      </c>
    </row>
    <row r="184" spans="9:11" x14ac:dyDescent="0.2">
      <c r="I184" t="str">
        <f>IF(A184="","",E184+G184-H184)</f>
        <v/>
      </c>
      <c r="K184" t="str">
        <f>IF(A184="","",IF(I184&gt;F184,"OVER LIMIT",IF(I184&gt;0,"ACTIVE CREDIT","CLEAR")))</f>
        <v/>
      </c>
    </row>
    <row r="185" spans="9:11" x14ac:dyDescent="0.2">
      <c r="I185" t="str">
        <f>IF(A185="","",E185+G185-H185)</f>
        <v/>
      </c>
      <c r="K185" t="str">
        <f>IF(A185="","",IF(I185&gt;F185,"OVER LIMIT",IF(I185&gt;0,"ACTIVE CREDIT","CLEAR")))</f>
        <v/>
      </c>
    </row>
    <row r="186" spans="9:11" x14ac:dyDescent="0.2">
      <c r="I186" t="str">
        <f>IF(A186="","",E186+G186-H186)</f>
        <v/>
      </c>
      <c r="K186" t="str">
        <f>IF(A186="","",IF(I186&gt;F186,"OVER LIMIT",IF(I186&gt;0,"ACTIVE CREDIT","CLEAR")))</f>
        <v/>
      </c>
    </row>
    <row r="187" spans="9:11" x14ac:dyDescent="0.2">
      <c r="I187" t="str">
        <f>IF(A187="","",E187+G187-H187)</f>
        <v/>
      </c>
      <c r="K187" t="str">
        <f>IF(A187="","",IF(I187&gt;F187,"OVER LIMIT",IF(I187&gt;0,"ACTIVE CREDIT","CLEAR")))</f>
        <v/>
      </c>
    </row>
    <row r="188" spans="9:11" x14ac:dyDescent="0.2">
      <c r="I188" t="str">
        <f>IF(A188="","",E188+G188-H188)</f>
        <v/>
      </c>
      <c r="K188" t="str">
        <f>IF(A188="","",IF(I188&gt;F188,"OVER LIMIT",IF(I188&gt;0,"ACTIVE CREDIT","CLEAR")))</f>
        <v/>
      </c>
    </row>
    <row r="189" spans="9:11" x14ac:dyDescent="0.2">
      <c r="I189" t="str">
        <f>IF(A189="","",E189+G189-H189)</f>
        <v/>
      </c>
      <c r="K189" t="str">
        <f>IF(A189="","",IF(I189&gt;F189,"OVER LIMIT",IF(I189&gt;0,"ACTIVE CREDIT","CLEAR")))</f>
        <v/>
      </c>
    </row>
    <row r="190" spans="9:11" x14ac:dyDescent="0.2">
      <c r="I190" t="str">
        <f>IF(A190="","",E190+G190-H190)</f>
        <v/>
      </c>
      <c r="K190" t="str">
        <f>IF(A190="","",IF(I190&gt;F190,"OVER LIMIT",IF(I190&gt;0,"ACTIVE CREDIT","CLEAR")))</f>
        <v/>
      </c>
    </row>
    <row r="191" spans="9:11" x14ac:dyDescent="0.2">
      <c r="I191" t="str">
        <f>IF(A191="","",E191+G191-H191)</f>
        <v/>
      </c>
      <c r="K191" t="str">
        <f>IF(A191="","",IF(I191&gt;F191,"OVER LIMIT",IF(I191&gt;0,"ACTIVE CREDIT","CLEAR")))</f>
        <v/>
      </c>
    </row>
    <row r="192" spans="9:11" x14ac:dyDescent="0.2">
      <c r="I192" t="str">
        <f>IF(A192="","",E192+G192-H192)</f>
        <v/>
      </c>
      <c r="K192" t="str">
        <f>IF(A192="","",IF(I192&gt;F192,"OVER LIMIT",IF(I192&gt;0,"ACTIVE CREDIT","CLEAR")))</f>
        <v/>
      </c>
    </row>
    <row r="193" spans="9:11" x14ac:dyDescent="0.2">
      <c r="I193" t="str">
        <f>IF(A193="","",E193+G193-H193)</f>
        <v/>
      </c>
      <c r="K193" t="str">
        <f>IF(A193="","",IF(I193&gt;F193,"OVER LIMIT",IF(I193&gt;0,"ACTIVE CREDIT","CLEAR")))</f>
        <v/>
      </c>
    </row>
    <row r="194" spans="9:11" x14ac:dyDescent="0.2">
      <c r="I194" t="str">
        <f>IF(A194="","",E194+G194-H194)</f>
        <v/>
      </c>
      <c r="K194" t="str">
        <f>IF(A194="","",IF(I194&gt;F194,"OVER LIMIT",IF(I194&gt;0,"ACTIVE CREDIT","CLEAR")))</f>
        <v/>
      </c>
    </row>
    <row r="195" spans="9:11" x14ac:dyDescent="0.2">
      <c r="I195" t="str">
        <f>IF(A195="","",E195+G195-H195)</f>
        <v/>
      </c>
      <c r="K195" t="str">
        <f>IF(A195="","",IF(I195&gt;F195,"OVER LIMIT",IF(I195&gt;0,"ACTIVE CREDIT","CLEAR")))</f>
        <v/>
      </c>
    </row>
    <row r="196" spans="9:11" x14ac:dyDescent="0.2">
      <c r="I196" t="str">
        <f>IF(A196="","",E196+G196-H196)</f>
        <v/>
      </c>
      <c r="K196" t="str">
        <f>IF(A196="","",IF(I196&gt;F196,"OVER LIMIT",IF(I196&gt;0,"ACTIVE CREDIT","CLEAR")))</f>
        <v/>
      </c>
    </row>
    <row r="197" spans="9:11" x14ac:dyDescent="0.2">
      <c r="I197" t="str">
        <f>IF(A197="","",E197+G197-H197)</f>
        <v/>
      </c>
      <c r="K197" t="str">
        <f>IF(A197="","",IF(I197&gt;F197,"OVER LIMIT",IF(I197&gt;0,"ACTIVE CREDIT","CLEAR")))</f>
        <v/>
      </c>
    </row>
    <row r="198" spans="9:11" x14ac:dyDescent="0.2">
      <c r="I198" t="str">
        <f>IF(A198="","",E198+G198-H198)</f>
        <v/>
      </c>
      <c r="K198" t="str">
        <f>IF(A198="","",IF(I198&gt;F198,"OVER LIMIT",IF(I198&gt;0,"ACTIVE CREDIT","CLEAR")))</f>
        <v/>
      </c>
    </row>
    <row r="199" spans="9:11" x14ac:dyDescent="0.2">
      <c r="I199" t="str">
        <f>IF(A199="","",E199+G199-H199)</f>
        <v/>
      </c>
      <c r="K199" t="str">
        <f>IF(A199="","",IF(I199&gt;F199,"OVER LIMIT",IF(I199&gt;0,"ACTIVE CREDIT","CLEAR")))</f>
        <v/>
      </c>
    </row>
    <row r="200" spans="9:11" x14ac:dyDescent="0.2">
      <c r="I200" t="str">
        <f>IF(A200="","",E200+G200-H200)</f>
        <v/>
      </c>
      <c r="K200" t="str">
        <f>IF(A200="","",IF(I200&gt;F200,"OVER LIMIT",IF(I200&gt;0,"ACTIVE CREDIT","CLEAR")))</f>
        <v/>
      </c>
    </row>
    <row r="201" spans="9:11" x14ac:dyDescent="0.2">
      <c r="I201" t="str">
        <f>IF(A201="","",E201+G201-H201)</f>
        <v/>
      </c>
      <c r="K201" t="str">
        <f>IF(A201="","",IF(I201&gt;F201,"OVER LIMIT",IF(I201&gt;0,"ACTIVE CREDIT","CLEAR")))</f>
        <v/>
      </c>
    </row>
  </sheetData>
  <conditionalFormatting sqref="I2:I201">
    <cfRule type="cellIs" dxfId="0" priority="1" operator="greaterThan">
      <formula>F2</formula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66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"/>
  <cols>
    <col min="1" max="1" width="13.98828125" style="17" customWidth="1"/>
    <col min="2" max="4" width="16.0078125" style="17" customWidth="1"/>
    <col min="5" max="5" width="22.05859375" style="17" customWidth="1"/>
    <col min="6" max="10" width="18.0234375" style="17" customWidth="1"/>
  </cols>
  <sheetData>
    <row r="1" spans="1:10" x14ac:dyDescent="0.2">
      <c r="A1" s="16" t="s">
        <v>35</v>
      </c>
      <c r="B1" s="16" t="s">
        <v>105</v>
      </c>
      <c r="C1" s="16" t="s">
        <v>33</v>
      </c>
      <c r="D1" s="16" t="s">
        <v>106</v>
      </c>
      <c r="E1" s="16" t="s">
        <v>107</v>
      </c>
      <c r="F1" s="16" t="s">
        <v>108</v>
      </c>
      <c r="G1" s="16" t="s">
        <v>109</v>
      </c>
      <c r="H1" s="16" t="s">
        <v>110</v>
      </c>
      <c r="I1" s="16" t="s">
        <v>29</v>
      </c>
      <c r="J1" s="16" t="s">
        <v>111</v>
      </c>
    </row>
    <row r="2" spans="1:10" x14ac:dyDescent="0.2">
      <c r="D2" t="str">
        <f>IF(A2="","",B2-C2)</f>
        <v/>
      </c>
      <c r="H2" t="str">
        <f>IF(A2="","",D2-E2)</f>
        <v/>
      </c>
      <c r="I2" t="str">
        <f>IF(A2="","",H2-F2-G2)</f>
        <v/>
      </c>
      <c r="J2" s="15" t="str">
        <f>IFERROR(I2/D2,"")</f>
        <v/>
      </c>
    </row>
    <row r="3" spans="1:10" x14ac:dyDescent="0.2">
      <c r="D3" t="str">
        <f>IF(A3="","",B3-C3)</f>
        <v/>
      </c>
      <c r="H3" t="str">
        <f>IF(A3="","",D3-E3)</f>
        <v/>
      </c>
      <c r="I3" t="str">
        <f>IF(A3="","",H3-F3-G3)</f>
        <v/>
      </c>
      <c r="J3" s="15" t="str">
        <f>IFERROR(I3/D3,"")</f>
        <v/>
      </c>
    </row>
    <row r="4" spans="1:10" x14ac:dyDescent="0.2">
      <c r="D4" t="str">
        <f>IF(A4="","",B4-C4)</f>
        <v/>
      </c>
      <c r="H4" t="str">
        <f>IF(A4="","",D4-E4)</f>
        <v/>
      </c>
      <c r="I4" t="str">
        <f>IF(A4="","",H4-F4-G4)</f>
        <v/>
      </c>
      <c r="J4" s="15" t="str">
        <f>IFERROR(I4/D4,"")</f>
        <v/>
      </c>
    </row>
    <row r="5" spans="1:10" x14ac:dyDescent="0.2">
      <c r="D5" t="str">
        <f>IF(A5="","",B5-C5)</f>
        <v/>
      </c>
      <c r="H5" t="str">
        <f>IF(A5="","",D5-E5)</f>
        <v/>
      </c>
      <c r="I5" t="str">
        <f>IF(A5="","",H5-F5-G5)</f>
        <v/>
      </c>
      <c r="J5" s="15" t="str">
        <f>IFERROR(I5/D5,"")</f>
        <v/>
      </c>
    </row>
    <row r="6" spans="1:10" x14ac:dyDescent="0.2">
      <c r="D6" t="str">
        <f>IF(A6="","",B6-C6)</f>
        <v/>
      </c>
      <c r="H6" t="str">
        <f>IF(A6="","",D6-E6)</f>
        <v/>
      </c>
      <c r="I6" t="str">
        <f>IF(A6="","",H6-F6-G6)</f>
        <v/>
      </c>
      <c r="J6" s="15" t="str">
        <f>IFERROR(I6/D6,"")</f>
        <v/>
      </c>
    </row>
    <row r="7" spans="1:10" x14ac:dyDescent="0.2">
      <c r="D7" t="str">
        <f>IF(A7="","",B7-C7)</f>
        <v/>
      </c>
      <c r="H7" t="str">
        <f>IF(A7="","",D7-E7)</f>
        <v/>
      </c>
      <c r="I7" t="str">
        <f>IF(A7="","",H7-F7-G7)</f>
        <v/>
      </c>
      <c r="J7" s="15" t="str">
        <f>IFERROR(I7/D7,"")</f>
        <v/>
      </c>
    </row>
    <row r="8" spans="1:10" x14ac:dyDescent="0.2">
      <c r="D8" t="str">
        <f>IF(A8="","",B8-C8)</f>
        <v/>
      </c>
      <c r="H8" t="str">
        <f>IF(A8="","",D8-E8)</f>
        <v/>
      </c>
      <c r="I8" t="str">
        <f>IF(A8="","",H8-F8-G8)</f>
        <v/>
      </c>
      <c r="J8" s="15" t="str">
        <f>IFERROR(I8/D8,"")</f>
        <v/>
      </c>
    </row>
    <row r="9" spans="1:10" x14ac:dyDescent="0.2">
      <c r="D9" t="str">
        <f>IF(A9="","",B9-C9)</f>
        <v/>
      </c>
      <c r="H9" t="str">
        <f>IF(A9="","",D9-E9)</f>
        <v/>
      </c>
      <c r="I9" t="str">
        <f>IF(A9="","",H9-F9-G9)</f>
        <v/>
      </c>
      <c r="J9" s="15" t="str">
        <f>IFERROR(I9/D9,"")</f>
        <v/>
      </c>
    </row>
    <row r="10" spans="1:10" x14ac:dyDescent="0.2">
      <c r="D10" t="str">
        <f>IF(A10="","",B10-C10)</f>
        <v/>
      </c>
      <c r="H10" t="str">
        <f>IF(A10="","",D10-E10)</f>
        <v/>
      </c>
      <c r="I10" t="str">
        <f>IF(A10="","",H10-F10-G10)</f>
        <v/>
      </c>
      <c r="J10" s="15" t="str">
        <f>IFERROR(I10/D10,"")</f>
        <v/>
      </c>
    </row>
    <row r="11" spans="1:10" x14ac:dyDescent="0.2">
      <c r="D11" t="str">
        <f>IF(A11="","",B11-C11)</f>
        <v/>
      </c>
      <c r="H11" t="str">
        <f>IF(A11="","",D11-E11)</f>
        <v/>
      </c>
      <c r="I11" t="str">
        <f>IF(A11="","",H11-F11-G11)</f>
        <v/>
      </c>
      <c r="J11" s="15" t="str">
        <f>IFERROR(I11/D11,"")</f>
        <v/>
      </c>
    </row>
    <row r="12" spans="1:10" x14ac:dyDescent="0.2">
      <c r="D12" t="str">
        <f>IF(A12="","",B12-C12)</f>
        <v/>
      </c>
      <c r="H12" t="str">
        <f>IF(A12="","",D12-E12)</f>
        <v/>
      </c>
      <c r="I12" t="str">
        <f>IF(A12="","",H12-F12-G12)</f>
        <v/>
      </c>
      <c r="J12" s="15" t="str">
        <f>IFERROR(I12/D12,"")</f>
        <v/>
      </c>
    </row>
    <row r="13" spans="1:10" x14ac:dyDescent="0.2">
      <c r="D13" t="str">
        <f>IF(A13="","",B13-C13)</f>
        <v/>
      </c>
      <c r="H13" t="str">
        <f>IF(A13="","",D13-E13)</f>
        <v/>
      </c>
      <c r="I13" t="str">
        <f>IF(A13="","",H13-F13-G13)</f>
        <v/>
      </c>
      <c r="J13" s="15" t="str">
        <f>IFERROR(I13/D13,"")</f>
        <v/>
      </c>
    </row>
    <row r="14" spans="1:10" x14ac:dyDescent="0.2">
      <c r="D14" t="str">
        <f>IF(A14="","",B14-C14)</f>
        <v/>
      </c>
      <c r="H14" t="str">
        <f>IF(A14="","",D14-E14)</f>
        <v/>
      </c>
      <c r="I14" t="str">
        <f>IF(A14="","",H14-F14-G14)</f>
        <v/>
      </c>
      <c r="J14" s="15" t="str">
        <f>IFERROR(I14/D14,"")</f>
        <v/>
      </c>
    </row>
    <row r="15" spans="1:10" x14ac:dyDescent="0.2">
      <c r="D15" t="str">
        <f>IF(A15="","",B15-C15)</f>
        <v/>
      </c>
      <c r="H15" t="str">
        <f>IF(A15="","",D15-E15)</f>
        <v/>
      </c>
      <c r="I15" t="str">
        <f>IF(A15="","",H15-F15-G15)</f>
        <v/>
      </c>
      <c r="J15" s="15" t="str">
        <f>IFERROR(I15/D15,"")</f>
        <v/>
      </c>
    </row>
    <row r="16" spans="1:10" x14ac:dyDescent="0.2">
      <c r="D16" t="str">
        <f>IF(A16="","",B16-C16)</f>
        <v/>
      </c>
      <c r="H16" t="str">
        <f>IF(A16="","",D16-E16)</f>
        <v/>
      </c>
      <c r="I16" t="str">
        <f>IF(A16="","",H16-F16-G16)</f>
        <v/>
      </c>
      <c r="J16" s="15" t="str">
        <f>IFERROR(I16/D16,"")</f>
        <v/>
      </c>
    </row>
    <row r="17" spans="4:10" x14ac:dyDescent="0.2">
      <c r="D17" t="str">
        <f>IF(A17="","",B17-C17)</f>
        <v/>
      </c>
      <c r="H17" t="str">
        <f>IF(A17="","",D17-E17)</f>
        <v/>
      </c>
      <c r="I17" t="str">
        <f>IF(A17="","",H17-F17-G17)</f>
        <v/>
      </c>
      <c r="J17" s="15" t="str">
        <f>IFERROR(I17/D17,"")</f>
        <v/>
      </c>
    </row>
    <row r="18" spans="4:10" x14ac:dyDescent="0.2">
      <c r="D18" t="str">
        <f>IF(A18="","",B18-C18)</f>
        <v/>
      </c>
      <c r="H18" t="str">
        <f>IF(A18="","",D18-E18)</f>
        <v/>
      </c>
      <c r="I18" t="str">
        <f>IF(A18="","",H18-F18-G18)</f>
        <v/>
      </c>
      <c r="J18" s="15" t="str">
        <f>IFERROR(I18/D18,"")</f>
        <v/>
      </c>
    </row>
    <row r="19" spans="4:10" x14ac:dyDescent="0.2">
      <c r="D19" t="str">
        <f>IF(A19="","",B19-C19)</f>
        <v/>
      </c>
      <c r="H19" t="str">
        <f>IF(A19="","",D19-E19)</f>
        <v/>
      </c>
      <c r="I19" t="str">
        <f>IF(A19="","",H19-F19-G19)</f>
        <v/>
      </c>
      <c r="J19" s="15" t="str">
        <f>IFERROR(I19/D19,"")</f>
        <v/>
      </c>
    </row>
    <row r="20" spans="4:10" x14ac:dyDescent="0.2">
      <c r="D20" t="str">
        <f>IF(A20="","",B20-C20)</f>
        <v/>
      </c>
      <c r="H20" t="str">
        <f>IF(A20="","",D20-E20)</f>
        <v/>
      </c>
      <c r="I20" t="str">
        <f>IF(A20="","",H20-F20-G20)</f>
        <v/>
      </c>
      <c r="J20" s="15" t="str">
        <f>IFERROR(I20/D20,"")</f>
        <v/>
      </c>
    </row>
    <row r="21" spans="4:10" x14ac:dyDescent="0.2">
      <c r="D21" t="str">
        <f>IF(A21="","",B21-C21)</f>
        <v/>
      </c>
      <c r="H21" t="str">
        <f>IF(A21="","",D21-E21)</f>
        <v/>
      </c>
      <c r="I21" t="str">
        <f>IF(A21="","",H21-F21-G21)</f>
        <v/>
      </c>
      <c r="J21" s="15" t="str">
        <f>IFERROR(I21/D21,"")</f>
        <v/>
      </c>
    </row>
    <row r="22" spans="4:10" x14ac:dyDescent="0.2">
      <c r="D22" t="str">
        <f>IF(A22="","",B22-C22)</f>
        <v/>
      </c>
      <c r="H22" t="str">
        <f>IF(A22="","",D22-E22)</f>
        <v/>
      </c>
      <c r="I22" t="str">
        <f>IF(A22="","",H22-F22-G22)</f>
        <v/>
      </c>
      <c r="J22" s="15" t="str">
        <f>IFERROR(I22/D22,"")</f>
        <v/>
      </c>
    </row>
    <row r="23" spans="4:10" x14ac:dyDescent="0.2">
      <c r="D23" t="str">
        <f>IF(A23="","",B23-C23)</f>
        <v/>
      </c>
      <c r="H23" t="str">
        <f>IF(A23="","",D23-E23)</f>
        <v/>
      </c>
      <c r="I23" t="str">
        <f>IF(A23="","",H23-F23-G23)</f>
        <v/>
      </c>
      <c r="J23" s="15" t="str">
        <f>IFERROR(I23/D23,"")</f>
        <v/>
      </c>
    </row>
    <row r="24" spans="4:10" x14ac:dyDescent="0.2">
      <c r="D24" t="str">
        <f>IF(A24="","",B24-C24)</f>
        <v/>
      </c>
      <c r="H24" t="str">
        <f>IF(A24="","",D24-E24)</f>
        <v/>
      </c>
      <c r="I24" t="str">
        <f>IF(A24="","",H24-F24-G24)</f>
        <v/>
      </c>
      <c r="J24" s="15" t="str">
        <f>IFERROR(I24/D24,"")</f>
        <v/>
      </c>
    </row>
    <row r="25" spans="4:10" x14ac:dyDescent="0.2">
      <c r="D25" t="str">
        <f>IF(A25="","",B25-C25)</f>
        <v/>
      </c>
      <c r="H25" t="str">
        <f>IF(A25="","",D25-E25)</f>
        <v/>
      </c>
      <c r="I25" t="str">
        <f>IF(A25="","",H25-F25-G25)</f>
        <v/>
      </c>
      <c r="J25" s="15" t="str">
        <f>IFERROR(I25/D25,"")</f>
        <v/>
      </c>
    </row>
    <row r="26" spans="4:10" x14ac:dyDescent="0.2">
      <c r="D26" t="str">
        <f>IF(A26="","",B26-C26)</f>
        <v/>
      </c>
      <c r="H26" t="str">
        <f>IF(A26="","",D26-E26)</f>
        <v/>
      </c>
      <c r="I26" t="str">
        <f>IF(A26="","",H26-F26-G26)</f>
        <v/>
      </c>
      <c r="J26" s="15" t="str">
        <f>IFERROR(I26/D26,"")</f>
        <v/>
      </c>
    </row>
    <row r="27" spans="4:10" x14ac:dyDescent="0.2">
      <c r="D27" t="str">
        <f>IF(A27="","",B27-C27)</f>
        <v/>
      </c>
      <c r="H27" t="str">
        <f>IF(A27="","",D27-E27)</f>
        <v/>
      </c>
      <c r="I27" t="str">
        <f>IF(A27="","",H27-F27-G27)</f>
        <v/>
      </c>
      <c r="J27" s="15" t="str">
        <f>IFERROR(I27/D27,"")</f>
        <v/>
      </c>
    </row>
    <row r="28" spans="4:10" x14ac:dyDescent="0.2">
      <c r="D28" t="str">
        <f>IF(A28="","",B28-C28)</f>
        <v/>
      </c>
      <c r="H28" t="str">
        <f>IF(A28="","",D28-E28)</f>
        <v/>
      </c>
      <c r="I28" t="str">
        <f>IF(A28="","",H28-F28-G28)</f>
        <v/>
      </c>
      <c r="J28" s="15" t="str">
        <f>IFERROR(I28/D28,"")</f>
        <v/>
      </c>
    </row>
    <row r="29" spans="4:10" x14ac:dyDescent="0.2">
      <c r="D29" t="str">
        <f>IF(A29="","",B29-C29)</f>
        <v/>
      </c>
      <c r="H29" t="str">
        <f>IF(A29="","",D29-E29)</f>
        <v/>
      </c>
      <c r="I29" t="str">
        <f>IF(A29="","",H29-F29-G29)</f>
        <v/>
      </c>
      <c r="J29" s="15" t="str">
        <f>IFERROR(I29/D29,"")</f>
        <v/>
      </c>
    </row>
    <row r="30" spans="4:10" x14ac:dyDescent="0.2">
      <c r="D30" t="str">
        <f>IF(A30="","",B30-C30)</f>
        <v/>
      </c>
      <c r="H30" t="str">
        <f>IF(A30="","",D30-E30)</f>
        <v/>
      </c>
      <c r="I30" t="str">
        <f>IF(A30="","",H30-F30-G30)</f>
        <v/>
      </c>
      <c r="J30" s="15" t="str">
        <f>IFERROR(I30/D30,"")</f>
        <v/>
      </c>
    </row>
    <row r="31" spans="4:10" x14ac:dyDescent="0.2">
      <c r="D31" t="str">
        <f>IF(A31="","",B31-C31)</f>
        <v/>
      </c>
      <c r="H31" t="str">
        <f>IF(A31="","",D31-E31)</f>
        <v/>
      </c>
      <c r="I31" t="str">
        <f>IF(A31="","",H31-F31-G31)</f>
        <v/>
      </c>
      <c r="J31" s="15" t="str">
        <f>IFERROR(I31/D31,"")</f>
        <v/>
      </c>
    </row>
    <row r="32" spans="4:10" x14ac:dyDescent="0.2">
      <c r="D32" t="str">
        <f>IF(A32="","",B32-C32)</f>
        <v/>
      </c>
      <c r="H32" t="str">
        <f>IF(A32="","",D32-E32)</f>
        <v/>
      </c>
      <c r="I32" t="str">
        <f>IF(A32="","",H32-F32-G32)</f>
        <v/>
      </c>
      <c r="J32" s="15" t="str">
        <f>IFERROR(I32/D32,"")</f>
        <v/>
      </c>
    </row>
    <row r="33" spans="4:10" x14ac:dyDescent="0.2">
      <c r="D33" t="str">
        <f>IF(A33="","",B33-C33)</f>
        <v/>
      </c>
      <c r="H33" t="str">
        <f>IF(A33="","",D33-E33)</f>
        <v/>
      </c>
      <c r="I33" t="str">
        <f>IF(A33="","",H33-F33-G33)</f>
        <v/>
      </c>
      <c r="J33" s="15" t="str">
        <f>IFERROR(I33/D33,"")</f>
        <v/>
      </c>
    </row>
    <row r="34" spans="4:10" x14ac:dyDescent="0.2">
      <c r="D34" t="str">
        <f>IF(A34="","",B34-C34)</f>
        <v/>
      </c>
      <c r="H34" t="str">
        <f>IF(A34="","",D34-E34)</f>
        <v/>
      </c>
      <c r="I34" t="str">
        <f>IF(A34="","",H34-F34-G34)</f>
        <v/>
      </c>
      <c r="J34" s="15" t="str">
        <f>IFERROR(I34/D34,"")</f>
        <v/>
      </c>
    </row>
    <row r="35" spans="4:10" x14ac:dyDescent="0.2">
      <c r="D35" t="str">
        <f>IF(A35="","",B35-C35)</f>
        <v/>
      </c>
      <c r="H35" t="str">
        <f>IF(A35="","",D35-E35)</f>
        <v/>
      </c>
      <c r="I35" t="str">
        <f>IF(A35="","",H35-F35-G35)</f>
        <v/>
      </c>
      <c r="J35" s="15" t="str">
        <f>IFERROR(I35/D35,"")</f>
        <v/>
      </c>
    </row>
    <row r="36" spans="4:10" x14ac:dyDescent="0.2">
      <c r="D36" t="str">
        <f>IF(A36="","",B36-C36)</f>
        <v/>
      </c>
      <c r="H36" t="str">
        <f>IF(A36="","",D36-E36)</f>
        <v/>
      </c>
      <c r="I36" t="str">
        <f>IF(A36="","",H36-F36-G36)</f>
        <v/>
      </c>
      <c r="J36" s="15" t="str">
        <f>IFERROR(I36/D36,"")</f>
        <v/>
      </c>
    </row>
    <row r="37" spans="4:10" x14ac:dyDescent="0.2">
      <c r="D37" t="str">
        <f>IF(A37="","",B37-C37)</f>
        <v/>
      </c>
      <c r="H37" t="str">
        <f>IF(A37="","",D37-E37)</f>
        <v/>
      </c>
      <c r="I37" t="str">
        <f>IF(A37="","",H37-F37-G37)</f>
        <v/>
      </c>
      <c r="J37" s="15" t="str">
        <f>IFERROR(I37/D37,"")</f>
        <v/>
      </c>
    </row>
    <row r="38" spans="4:10" x14ac:dyDescent="0.2">
      <c r="D38" t="str">
        <f>IF(A38="","",B38-C38)</f>
        <v/>
      </c>
      <c r="H38" t="str">
        <f>IF(A38="","",D38-E38)</f>
        <v/>
      </c>
      <c r="I38" t="str">
        <f>IF(A38="","",H38-F38-G38)</f>
        <v/>
      </c>
      <c r="J38" s="15" t="str">
        <f>IFERROR(I38/D38,"")</f>
        <v/>
      </c>
    </row>
    <row r="39" spans="4:10" x14ac:dyDescent="0.2">
      <c r="D39" t="str">
        <f>IF(A39="","",B39-C39)</f>
        <v/>
      </c>
      <c r="H39" t="str">
        <f>IF(A39="","",D39-E39)</f>
        <v/>
      </c>
      <c r="I39" t="str">
        <f>IF(A39="","",H39-F39-G39)</f>
        <v/>
      </c>
      <c r="J39" s="15" t="str">
        <f>IFERROR(I39/D39,"")</f>
        <v/>
      </c>
    </row>
    <row r="40" spans="4:10" x14ac:dyDescent="0.2">
      <c r="D40" t="str">
        <f>IF(A40="","",B40-C40)</f>
        <v/>
      </c>
      <c r="H40" t="str">
        <f>IF(A40="","",D40-E40)</f>
        <v/>
      </c>
      <c r="I40" t="str">
        <f>IF(A40="","",H40-F40-G40)</f>
        <v/>
      </c>
      <c r="J40" s="15" t="str">
        <f>IFERROR(I40/D40,"")</f>
        <v/>
      </c>
    </row>
    <row r="41" spans="4:10" x14ac:dyDescent="0.2">
      <c r="D41" t="str">
        <f>IF(A41="","",B41-C41)</f>
        <v/>
      </c>
      <c r="H41" t="str">
        <f>IF(A41="","",D41-E41)</f>
        <v/>
      </c>
      <c r="I41" t="str">
        <f>IF(A41="","",H41-F41-G41)</f>
        <v/>
      </c>
      <c r="J41" s="15" t="str">
        <f>IFERROR(I41/D41,"")</f>
        <v/>
      </c>
    </row>
    <row r="42" spans="4:10" x14ac:dyDescent="0.2">
      <c r="D42" t="str">
        <f>IF(A42="","",B42-C42)</f>
        <v/>
      </c>
      <c r="H42" t="str">
        <f>IF(A42="","",D42-E42)</f>
        <v/>
      </c>
      <c r="I42" t="str">
        <f>IF(A42="","",H42-F42-G42)</f>
        <v/>
      </c>
      <c r="J42" s="15" t="str">
        <f>IFERROR(I42/D42,"")</f>
        <v/>
      </c>
    </row>
    <row r="43" spans="4:10" x14ac:dyDescent="0.2">
      <c r="D43" t="str">
        <f>IF(A43="","",B43-C43)</f>
        <v/>
      </c>
      <c r="H43" t="str">
        <f>IF(A43="","",D43-E43)</f>
        <v/>
      </c>
      <c r="I43" t="str">
        <f>IF(A43="","",H43-F43-G43)</f>
        <v/>
      </c>
      <c r="J43" s="15" t="str">
        <f>IFERROR(I43/D43,"")</f>
        <v/>
      </c>
    </row>
    <row r="44" spans="4:10" x14ac:dyDescent="0.2">
      <c r="D44" t="str">
        <f>IF(A44="","",B44-C44)</f>
        <v/>
      </c>
      <c r="H44" t="str">
        <f>IF(A44="","",D44-E44)</f>
        <v/>
      </c>
      <c r="I44" t="str">
        <f>IF(A44="","",H44-F44-G44)</f>
        <v/>
      </c>
      <c r="J44" s="15" t="str">
        <f>IFERROR(I44/D44,"")</f>
        <v/>
      </c>
    </row>
    <row r="45" spans="4:10" x14ac:dyDescent="0.2">
      <c r="D45" t="str">
        <f>IF(A45="","",B45-C45)</f>
        <v/>
      </c>
      <c r="H45" t="str">
        <f>IF(A45="","",D45-E45)</f>
        <v/>
      </c>
      <c r="I45" t="str">
        <f>IF(A45="","",H45-F45-G45)</f>
        <v/>
      </c>
      <c r="J45" s="15" t="str">
        <f>IFERROR(I45/D45,"")</f>
        <v/>
      </c>
    </row>
    <row r="46" spans="4:10" x14ac:dyDescent="0.2">
      <c r="D46" t="str">
        <f>IF(A46="","",B46-C46)</f>
        <v/>
      </c>
      <c r="H46" t="str">
        <f>IF(A46="","",D46-E46)</f>
        <v/>
      </c>
      <c r="I46" t="str">
        <f>IF(A46="","",H46-F46-G46)</f>
        <v/>
      </c>
      <c r="J46" s="15" t="str">
        <f>IFERROR(I46/D46,"")</f>
        <v/>
      </c>
    </row>
    <row r="47" spans="4:10" x14ac:dyDescent="0.2">
      <c r="D47" t="str">
        <f>IF(A47="","",B47-C47)</f>
        <v/>
      </c>
      <c r="H47" t="str">
        <f>IF(A47="","",D47-E47)</f>
        <v/>
      </c>
      <c r="I47" t="str">
        <f>IF(A47="","",H47-F47-G47)</f>
        <v/>
      </c>
      <c r="J47" s="15" t="str">
        <f>IFERROR(I47/D47,"")</f>
        <v/>
      </c>
    </row>
    <row r="48" spans="4:10" x14ac:dyDescent="0.2">
      <c r="D48" t="str">
        <f>IF(A48="","",B48-C48)</f>
        <v/>
      </c>
      <c r="H48" t="str">
        <f>IF(A48="","",D48-E48)</f>
        <v/>
      </c>
      <c r="I48" t="str">
        <f>IF(A48="","",H48-F48-G48)</f>
        <v/>
      </c>
      <c r="J48" s="15" t="str">
        <f>IFERROR(I48/D48,"")</f>
        <v/>
      </c>
    </row>
    <row r="49" spans="4:10" x14ac:dyDescent="0.2">
      <c r="D49" t="str">
        <f>IF(A49="","",B49-C49)</f>
        <v/>
      </c>
      <c r="H49" t="str">
        <f>IF(A49="","",D49-E49)</f>
        <v/>
      </c>
      <c r="I49" t="str">
        <f>IF(A49="","",H49-F49-G49)</f>
        <v/>
      </c>
      <c r="J49" s="15" t="str">
        <f>IFERROR(I49/D49,"")</f>
        <v/>
      </c>
    </row>
    <row r="50" spans="4:10" x14ac:dyDescent="0.2">
      <c r="D50" t="str">
        <f>IF(A50="","",B50-C50)</f>
        <v/>
      </c>
      <c r="H50" t="str">
        <f>IF(A50="","",D50-E50)</f>
        <v/>
      </c>
      <c r="I50" t="str">
        <f>IF(A50="","",H50-F50-G50)</f>
        <v/>
      </c>
      <c r="J50" s="15" t="str">
        <f>IFERROR(I50/D50,"")</f>
        <v/>
      </c>
    </row>
    <row r="51" spans="4:10" x14ac:dyDescent="0.2">
      <c r="D51" t="str">
        <f>IF(A51="","",B51-C51)</f>
        <v/>
      </c>
      <c r="H51" t="str">
        <f>IF(A51="","",D51-E51)</f>
        <v/>
      </c>
      <c r="I51" t="str">
        <f>IF(A51="","",H51-F51-G51)</f>
        <v/>
      </c>
      <c r="J51" s="15" t="str">
        <f>IFERROR(I51/D51,"")</f>
        <v/>
      </c>
    </row>
    <row r="52" spans="4:10" x14ac:dyDescent="0.2">
      <c r="D52" t="str">
        <f>IF(A52="","",B52-C52)</f>
        <v/>
      </c>
      <c r="H52" t="str">
        <f>IF(A52="","",D52-E52)</f>
        <v/>
      </c>
      <c r="I52" t="str">
        <f>IF(A52="","",H52-F52-G52)</f>
        <v/>
      </c>
      <c r="J52" s="15" t="str">
        <f>IFERROR(I52/D52,"")</f>
        <v/>
      </c>
    </row>
    <row r="53" spans="4:10" x14ac:dyDescent="0.2">
      <c r="D53" t="str">
        <f>IF(A53="","",B53-C53)</f>
        <v/>
      </c>
      <c r="H53" t="str">
        <f>IF(A53="","",D53-E53)</f>
        <v/>
      </c>
      <c r="I53" t="str">
        <f>IF(A53="","",H53-F53-G53)</f>
        <v/>
      </c>
      <c r="J53" s="15" t="str">
        <f>IFERROR(I53/D53,"")</f>
        <v/>
      </c>
    </row>
    <row r="54" spans="4:10" x14ac:dyDescent="0.2">
      <c r="D54" t="str">
        <f>IF(A54="","",B54-C54)</f>
        <v/>
      </c>
      <c r="H54" t="str">
        <f>IF(A54="","",D54-E54)</f>
        <v/>
      </c>
      <c r="I54" t="str">
        <f>IF(A54="","",H54-F54-G54)</f>
        <v/>
      </c>
      <c r="J54" s="15" t="str">
        <f>IFERROR(I54/D54,"")</f>
        <v/>
      </c>
    </row>
    <row r="55" spans="4:10" x14ac:dyDescent="0.2">
      <c r="D55" t="str">
        <f>IF(A55="","",B55-C55)</f>
        <v/>
      </c>
      <c r="H55" t="str">
        <f>IF(A55="","",D55-E55)</f>
        <v/>
      </c>
      <c r="I55" t="str">
        <f>IF(A55="","",H55-F55-G55)</f>
        <v/>
      </c>
      <c r="J55" s="15" t="str">
        <f>IFERROR(I55/D55,"")</f>
        <v/>
      </c>
    </row>
    <row r="56" spans="4:10" x14ac:dyDescent="0.2">
      <c r="D56" t="str">
        <f>IF(A56="","",B56-C56)</f>
        <v/>
      </c>
      <c r="H56" t="str">
        <f>IF(A56="","",D56-E56)</f>
        <v/>
      </c>
      <c r="I56" t="str">
        <f>IF(A56="","",H56-F56-G56)</f>
        <v/>
      </c>
      <c r="J56" s="15" t="str">
        <f>IFERROR(I56/D56,"")</f>
        <v/>
      </c>
    </row>
    <row r="57" spans="4:10" x14ac:dyDescent="0.2">
      <c r="D57" t="str">
        <f>IF(A57="","",B57-C57)</f>
        <v/>
      </c>
      <c r="H57" t="str">
        <f>IF(A57="","",D57-E57)</f>
        <v/>
      </c>
      <c r="I57" t="str">
        <f>IF(A57="","",H57-F57-G57)</f>
        <v/>
      </c>
      <c r="J57" s="15" t="str">
        <f>IFERROR(I57/D57,"")</f>
        <v/>
      </c>
    </row>
    <row r="58" spans="4:10" x14ac:dyDescent="0.2">
      <c r="D58" t="str">
        <f>IF(A58="","",B58-C58)</f>
        <v/>
      </c>
      <c r="H58" t="str">
        <f>IF(A58="","",D58-E58)</f>
        <v/>
      </c>
      <c r="I58" t="str">
        <f>IF(A58="","",H58-F58-G58)</f>
        <v/>
      </c>
      <c r="J58" s="15" t="str">
        <f>IFERROR(I58/D58,"")</f>
        <v/>
      </c>
    </row>
    <row r="59" spans="4:10" x14ac:dyDescent="0.2">
      <c r="D59" t="str">
        <f>IF(A59="","",B59-C59)</f>
        <v/>
      </c>
      <c r="H59" t="str">
        <f>IF(A59="","",D59-E59)</f>
        <v/>
      </c>
      <c r="I59" t="str">
        <f>IF(A59="","",H59-F59-G59)</f>
        <v/>
      </c>
      <c r="J59" s="15" t="str">
        <f>IFERROR(I59/D59,"")</f>
        <v/>
      </c>
    </row>
    <row r="60" spans="4:10" x14ac:dyDescent="0.2">
      <c r="D60" t="str">
        <f>IF(A60="","",B60-C60)</f>
        <v/>
      </c>
      <c r="H60" t="str">
        <f>IF(A60="","",D60-E60)</f>
        <v/>
      </c>
      <c r="I60" t="str">
        <f>IF(A60="","",H60-F60-G60)</f>
        <v/>
      </c>
      <c r="J60" s="15" t="str">
        <f>IFERROR(I60/D60,"")</f>
        <v/>
      </c>
    </row>
    <row r="61" spans="4:10" x14ac:dyDescent="0.2">
      <c r="D61" t="str">
        <f>IF(A61="","",B61-C61)</f>
        <v/>
      </c>
      <c r="H61" t="str">
        <f>IF(A61="","",D61-E61)</f>
        <v/>
      </c>
      <c r="I61" t="str">
        <f>IF(A61="","",H61-F61-G61)</f>
        <v/>
      </c>
      <c r="J61" s="15" t="str">
        <f>IFERROR(I61/D61,"")</f>
        <v/>
      </c>
    </row>
    <row r="62" spans="4:10" x14ac:dyDescent="0.2">
      <c r="D62" t="str">
        <f>IF(A62="","",B62-C62)</f>
        <v/>
      </c>
      <c r="H62" t="str">
        <f>IF(A62="","",D62-E62)</f>
        <v/>
      </c>
      <c r="I62" t="str">
        <f>IF(A62="","",H62-F62-G62)</f>
        <v/>
      </c>
      <c r="J62" s="15" t="str">
        <f>IFERROR(I62/D62,"")</f>
        <v/>
      </c>
    </row>
    <row r="63" spans="4:10" x14ac:dyDescent="0.2">
      <c r="D63" t="str">
        <f>IF(A63="","",B63-C63)</f>
        <v/>
      </c>
      <c r="H63" t="str">
        <f>IF(A63="","",D63-E63)</f>
        <v/>
      </c>
      <c r="I63" t="str">
        <f>IF(A63="","",H63-F63-G63)</f>
        <v/>
      </c>
      <c r="J63" s="15" t="str">
        <f>IFERROR(I63/D63,"")</f>
        <v/>
      </c>
    </row>
    <row r="64" spans="4:10" x14ac:dyDescent="0.2">
      <c r="D64" t="str">
        <f>IF(A64="","",B64-C64)</f>
        <v/>
      </c>
      <c r="H64" t="str">
        <f>IF(A64="","",D64-E64)</f>
        <v/>
      </c>
      <c r="I64" t="str">
        <f>IF(A64="","",H64-F64-G64)</f>
        <v/>
      </c>
      <c r="J64" s="15" t="str">
        <f>IFERROR(I64/D64,"")</f>
        <v/>
      </c>
    </row>
    <row r="65" spans="4:10" x14ac:dyDescent="0.2">
      <c r="D65" t="str">
        <f>IF(A65="","",B65-C65)</f>
        <v/>
      </c>
      <c r="H65" t="str">
        <f>IF(A65="","",D65-E65)</f>
        <v/>
      </c>
      <c r="I65" t="str">
        <f>IF(A65="","",H65-F65-G65)</f>
        <v/>
      </c>
      <c r="J65" s="15" t="str">
        <f>IFERROR(I65/D65,"")</f>
        <v/>
      </c>
    </row>
    <row r="66" spans="4:10" x14ac:dyDescent="0.2">
      <c r="D66" t="str">
        <f>IF(A66="","",B66-C66)</f>
        <v/>
      </c>
      <c r="H66" t="str">
        <f>IF(A66="","",D66-E66)</f>
        <v/>
      </c>
      <c r="I66" t="str">
        <f>IF(A66="","",H66-F66-G66)</f>
        <v/>
      </c>
      <c r="J66" s="15" t="str">
        <f>IFERROR(I66/D66,"")</f>
        <v/>
      </c>
    </row>
    <row r="67" spans="4:10" x14ac:dyDescent="0.2">
      <c r="D67" t="str">
        <f>IF(A67="","",B67-C67)</f>
        <v/>
      </c>
      <c r="H67" t="str">
        <f>IF(A67="","",D67-E67)</f>
        <v/>
      </c>
      <c r="I67" t="str">
        <f>IF(A67="","",H67-F67-G67)</f>
        <v/>
      </c>
      <c r="J67" s="15" t="str">
        <f>IFERROR(I67/D67,"")</f>
        <v/>
      </c>
    </row>
    <row r="68" spans="4:10" x14ac:dyDescent="0.2">
      <c r="D68" t="str">
        <f>IF(A68="","",B68-C68)</f>
        <v/>
      </c>
      <c r="H68" t="str">
        <f>IF(A68="","",D68-E68)</f>
        <v/>
      </c>
      <c r="I68" t="str">
        <f>IF(A68="","",H68-F68-G68)</f>
        <v/>
      </c>
      <c r="J68" s="15" t="str">
        <f>IFERROR(I68/D68,"")</f>
        <v/>
      </c>
    </row>
    <row r="69" spans="4:10" x14ac:dyDescent="0.2">
      <c r="D69" t="str">
        <f>IF(A69="","",B69-C69)</f>
        <v/>
      </c>
      <c r="H69" t="str">
        <f>IF(A69="","",D69-E69)</f>
        <v/>
      </c>
      <c r="I69" t="str">
        <f>IF(A69="","",H69-F69-G69)</f>
        <v/>
      </c>
      <c r="J69" s="15" t="str">
        <f>IFERROR(I69/D69,"")</f>
        <v/>
      </c>
    </row>
    <row r="70" spans="4:10" x14ac:dyDescent="0.2">
      <c r="D70" t="str">
        <f>IF(A70="","",B70-C70)</f>
        <v/>
      </c>
      <c r="H70" t="str">
        <f>IF(A70="","",D70-E70)</f>
        <v/>
      </c>
      <c r="I70" t="str">
        <f>IF(A70="","",H70-F70-G70)</f>
        <v/>
      </c>
      <c r="J70" s="15" t="str">
        <f>IFERROR(I70/D70,"")</f>
        <v/>
      </c>
    </row>
    <row r="71" spans="4:10" x14ac:dyDescent="0.2">
      <c r="D71" t="str">
        <f>IF(A71="","",B71-C71)</f>
        <v/>
      </c>
      <c r="H71" t="str">
        <f>IF(A71="","",D71-E71)</f>
        <v/>
      </c>
      <c r="I71" t="str">
        <f>IF(A71="","",H71-F71-G71)</f>
        <v/>
      </c>
      <c r="J71" s="15" t="str">
        <f>IFERROR(I71/D71,"")</f>
        <v/>
      </c>
    </row>
    <row r="72" spans="4:10" x14ac:dyDescent="0.2">
      <c r="D72" t="str">
        <f>IF(A72="","",B72-C72)</f>
        <v/>
      </c>
      <c r="H72" t="str">
        <f>IF(A72="","",D72-E72)</f>
        <v/>
      </c>
      <c r="I72" t="str">
        <f>IF(A72="","",H72-F72-G72)</f>
        <v/>
      </c>
      <c r="J72" s="15" t="str">
        <f>IFERROR(I72/D72,"")</f>
        <v/>
      </c>
    </row>
    <row r="73" spans="4:10" x14ac:dyDescent="0.2">
      <c r="D73" t="str">
        <f>IF(A73="","",B73-C73)</f>
        <v/>
      </c>
      <c r="H73" t="str">
        <f>IF(A73="","",D73-E73)</f>
        <v/>
      </c>
      <c r="I73" t="str">
        <f>IF(A73="","",H73-F73-G73)</f>
        <v/>
      </c>
      <c r="J73" s="15" t="str">
        <f>IFERROR(I73/D73,"")</f>
        <v/>
      </c>
    </row>
    <row r="74" spans="4:10" x14ac:dyDescent="0.2">
      <c r="D74" t="str">
        <f>IF(A74="","",B74-C74)</f>
        <v/>
      </c>
      <c r="H74" t="str">
        <f>IF(A74="","",D74-E74)</f>
        <v/>
      </c>
      <c r="I74" t="str">
        <f>IF(A74="","",H74-F74-G74)</f>
        <v/>
      </c>
      <c r="J74" s="15" t="str">
        <f>IFERROR(I74/D74,"")</f>
        <v/>
      </c>
    </row>
    <row r="75" spans="4:10" x14ac:dyDescent="0.2">
      <c r="D75" t="str">
        <f>IF(A75="","",B75-C75)</f>
        <v/>
      </c>
      <c r="H75" t="str">
        <f>IF(A75="","",D75-E75)</f>
        <v/>
      </c>
      <c r="I75" t="str">
        <f>IF(A75="","",H75-F75-G75)</f>
        <v/>
      </c>
      <c r="J75" s="15" t="str">
        <f>IFERROR(I75/D75,"")</f>
        <v/>
      </c>
    </row>
    <row r="76" spans="4:10" x14ac:dyDescent="0.2">
      <c r="D76" t="str">
        <f>IF(A76="","",B76-C76)</f>
        <v/>
      </c>
      <c r="H76" t="str">
        <f>IF(A76="","",D76-E76)</f>
        <v/>
      </c>
      <c r="I76" t="str">
        <f>IF(A76="","",H76-F76-G76)</f>
        <v/>
      </c>
      <c r="J76" s="15" t="str">
        <f>IFERROR(I76/D76,"")</f>
        <v/>
      </c>
    </row>
    <row r="77" spans="4:10" x14ac:dyDescent="0.2">
      <c r="D77" t="str">
        <f>IF(A77="","",B77-C77)</f>
        <v/>
      </c>
      <c r="H77" t="str">
        <f>IF(A77="","",D77-E77)</f>
        <v/>
      </c>
      <c r="I77" t="str">
        <f>IF(A77="","",H77-F77-G77)</f>
        <v/>
      </c>
      <c r="J77" s="15" t="str">
        <f>IFERROR(I77/D77,"")</f>
        <v/>
      </c>
    </row>
    <row r="78" spans="4:10" x14ac:dyDescent="0.2">
      <c r="D78" t="str">
        <f>IF(A78="","",B78-C78)</f>
        <v/>
      </c>
      <c r="H78" t="str">
        <f>IF(A78="","",D78-E78)</f>
        <v/>
      </c>
      <c r="I78" t="str">
        <f>IF(A78="","",H78-F78-G78)</f>
        <v/>
      </c>
      <c r="J78" s="15" t="str">
        <f>IFERROR(I78/D78,"")</f>
        <v/>
      </c>
    </row>
    <row r="79" spans="4:10" x14ac:dyDescent="0.2">
      <c r="D79" t="str">
        <f>IF(A79="","",B79-C79)</f>
        <v/>
      </c>
      <c r="H79" t="str">
        <f>IF(A79="","",D79-E79)</f>
        <v/>
      </c>
      <c r="I79" t="str">
        <f>IF(A79="","",H79-F79-G79)</f>
        <v/>
      </c>
      <c r="J79" s="15" t="str">
        <f>IFERROR(I79/D79,"")</f>
        <v/>
      </c>
    </row>
    <row r="80" spans="4:10" x14ac:dyDescent="0.2">
      <c r="D80" t="str">
        <f>IF(A80="","",B80-C80)</f>
        <v/>
      </c>
      <c r="H80" t="str">
        <f>IF(A80="","",D80-E80)</f>
        <v/>
      </c>
      <c r="I80" t="str">
        <f>IF(A80="","",H80-F80-G80)</f>
        <v/>
      </c>
      <c r="J80" s="15" t="str">
        <f>IFERROR(I80/D80,"")</f>
        <v/>
      </c>
    </row>
    <row r="81" spans="4:10" x14ac:dyDescent="0.2">
      <c r="D81" t="str">
        <f>IF(A81="","",B81-C81)</f>
        <v/>
      </c>
      <c r="H81" t="str">
        <f>IF(A81="","",D81-E81)</f>
        <v/>
      </c>
      <c r="I81" t="str">
        <f>IF(A81="","",H81-F81-G81)</f>
        <v/>
      </c>
      <c r="J81" s="15" t="str">
        <f>IFERROR(I81/D81,"")</f>
        <v/>
      </c>
    </row>
    <row r="82" spans="4:10" x14ac:dyDescent="0.2">
      <c r="D82" t="str">
        <f>IF(A82="","",B82-C82)</f>
        <v/>
      </c>
      <c r="H82" t="str">
        <f>IF(A82="","",D82-E82)</f>
        <v/>
      </c>
      <c r="I82" t="str">
        <f>IF(A82="","",H82-F82-G82)</f>
        <v/>
      </c>
      <c r="J82" s="15" t="str">
        <f>IFERROR(I82/D82,"")</f>
        <v/>
      </c>
    </row>
    <row r="83" spans="4:10" x14ac:dyDescent="0.2">
      <c r="D83" t="str">
        <f>IF(A83="","",B83-C83)</f>
        <v/>
      </c>
      <c r="H83" t="str">
        <f>IF(A83="","",D83-E83)</f>
        <v/>
      </c>
      <c r="I83" t="str">
        <f>IF(A83="","",H83-F83-G83)</f>
        <v/>
      </c>
      <c r="J83" s="15" t="str">
        <f>IFERROR(I83/D83,"")</f>
        <v/>
      </c>
    </row>
    <row r="84" spans="4:10" x14ac:dyDescent="0.2">
      <c r="D84" t="str">
        <f>IF(A84="","",B84-C84)</f>
        <v/>
      </c>
      <c r="H84" t="str">
        <f>IF(A84="","",D84-E84)</f>
        <v/>
      </c>
      <c r="I84" t="str">
        <f>IF(A84="","",H84-F84-G84)</f>
        <v/>
      </c>
      <c r="J84" s="15" t="str">
        <f>IFERROR(I84/D84,"")</f>
        <v/>
      </c>
    </row>
    <row r="85" spans="4:10" x14ac:dyDescent="0.2">
      <c r="D85" t="str">
        <f>IF(A85="","",B85-C85)</f>
        <v/>
      </c>
      <c r="H85" t="str">
        <f>IF(A85="","",D85-E85)</f>
        <v/>
      </c>
      <c r="I85" t="str">
        <f>IF(A85="","",H85-F85-G85)</f>
        <v/>
      </c>
      <c r="J85" s="15" t="str">
        <f>IFERROR(I85/D85,"")</f>
        <v/>
      </c>
    </row>
    <row r="86" spans="4:10" x14ac:dyDescent="0.2">
      <c r="D86" t="str">
        <f>IF(A86="","",B86-C86)</f>
        <v/>
      </c>
      <c r="H86" t="str">
        <f>IF(A86="","",D86-E86)</f>
        <v/>
      </c>
      <c r="I86" t="str">
        <f>IF(A86="","",H86-F86-G86)</f>
        <v/>
      </c>
      <c r="J86" s="15" t="str">
        <f>IFERROR(I86/D86,"")</f>
        <v/>
      </c>
    </row>
    <row r="87" spans="4:10" x14ac:dyDescent="0.2">
      <c r="D87" t="str">
        <f>IF(A87="","",B87-C87)</f>
        <v/>
      </c>
      <c r="H87" t="str">
        <f>IF(A87="","",D87-E87)</f>
        <v/>
      </c>
      <c r="I87" t="str">
        <f>IF(A87="","",H87-F87-G87)</f>
        <v/>
      </c>
      <c r="J87" s="15" t="str">
        <f>IFERROR(I87/D87,"")</f>
        <v/>
      </c>
    </row>
    <row r="88" spans="4:10" x14ac:dyDescent="0.2">
      <c r="D88" t="str">
        <f>IF(A88="","",B88-C88)</f>
        <v/>
      </c>
      <c r="H88" t="str">
        <f>IF(A88="","",D88-E88)</f>
        <v/>
      </c>
      <c r="I88" t="str">
        <f>IF(A88="","",H88-F88-G88)</f>
        <v/>
      </c>
      <c r="J88" s="15" t="str">
        <f>IFERROR(I88/D88,"")</f>
        <v/>
      </c>
    </row>
    <row r="89" spans="4:10" x14ac:dyDescent="0.2">
      <c r="D89" t="str">
        <f>IF(A89="","",B89-C89)</f>
        <v/>
      </c>
      <c r="H89" t="str">
        <f>IF(A89="","",D89-E89)</f>
        <v/>
      </c>
      <c r="I89" t="str">
        <f>IF(A89="","",H89-F89-G89)</f>
        <v/>
      </c>
      <c r="J89" s="15" t="str">
        <f>IFERROR(I89/D89,"")</f>
        <v/>
      </c>
    </row>
    <row r="90" spans="4:10" x14ac:dyDescent="0.2">
      <c r="D90" t="str">
        <f>IF(A90="","",B90-C90)</f>
        <v/>
      </c>
      <c r="H90" t="str">
        <f>IF(A90="","",D90-E90)</f>
        <v/>
      </c>
      <c r="I90" t="str">
        <f>IF(A90="","",H90-F90-G90)</f>
        <v/>
      </c>
      <c r="J90" s="15" t="str">
        <f>IFERROR(I90/D90,"")</f>
        <v/>
      </c>
    </row>
    <row r="91" spans="4:10" x14ac:dyDescent="0.2">
      <c r="D91" t="str">
        <f>IF(A91="","",B91-C91)</f>
        <v/>
      </c>
      <c r="H91" t="str">
        <f>IF(A91="","",D91-E91)</f>
        <v/>
      </c>
      <c r="I91" t="str">
        <f>IF(A91="","",H91-F91-G91)</f>
        <v/>
      </c>
      <c r="J91" s="15" t="str">
        <f>IFERROR(I91/D91,"")</f>
        <v/>
      </c>
    </row>
    <row r="92" spans="4:10" x14ac:dyDescent="0.2">
      <c r="D92" t="str">
        <f>IF(A92="","",B92-C92)</f>
        <v/>
      </c>
      <c r="H92" t="str">
        <f>IF(A92="","",D92-E92)</f>
        <v/>
      </c>
      <c r="I92" t="str">
        <f>IF(A92="","",H92-F92-G92)</f>
        <v/>
      </c>
      <c r="J92" s="15" t="str">
        <f>IFERROR(I92/D92,"")</f>
        <v/>
      </c>
    </row>
    <row r="93" spans="4:10" x14ac:dyDescent="0.2">
      <c r="D93" t="str">
        <f>IF(A93="","",B93-C93)</f>
        <v/>
      </c>
      <c r="H93" t="str">
        <f>IF(A93="","",D93-E93)</f>
        <v/>
      </c>
      <c r="I93" t="str">
        <f>IF(A93="","",H93-F93-G93)</f>
        <v/>
      </c>
      <c r="J93" s="15" t="str">
        <f>IFERROR(I93/D93,"")</f>
        <v/>
      </c>
    </row>
    <row r="94" spans="4:10" x14ac:dyDescent="0.2">
      <c r="D94" t="str">
        <f>IF(A94="","",B94-C94)</f>
        <v/>
      </c>
      <c r="H94" t="str">
        <f>IF(A94="","",D94-E94)</f>
        <v/>
      </c>
      <c r="I94" t="str">
        <f>IF(A94="","",H94-F94-G94)</f>
        <v/>
      </c>
      <c r="J94" s="15" t="str">
        <f>IFERROR(I94/D94,"")</f>
        <v/>
      </c>
    </row>
    <row r="95" spans="4:10" x14ac:dyDescent="0.2">
      <c r="D95" t="str">
        <f>IF(A95="","",B95-C95)</f>
        <v/>
      </c>
      <c r="H95" t="str">
        <f>IF(A95="","",D95-E95)</f>
        <v/>
      </c>
      <c r="I95" t="str">
        <f>IF(A95="","",H95-F95-G95)</f>
        <v/>
      </c>
      <c r="J95" s="15" t="str">
        <f>IFERROR(I95/D95,"")</f>
        <v/>
      </c>
    </row>
    <row r="96" spans="4:10" x14ac:dyDescent="0.2">
      <c r="D96" t="str">
        <f>IF(A96="","",B96-C96)</f>
        <v/>
      </c>
      <c r="H96" t="str">
        <f>IF(A96="","",D96-E96)</f>
        <v/>
      </c>
      <c r="I96" t="str">
        <f>IF(A96="","",H96-F96-G96)</f>
        <v/>
      </c>
      <c r="J96" s="15" t="str">
        <f>IFERROR(I96/D96,"")</f>
        <v/>
      </c>
    </row>
    <row r="97" spans="4:10" x14ac:dyDescent="0.2">
      <c r="D97" t="str">
        <f>IF(A97="","",B97-C97)</f>
        <v/>
      </c>
      <c r="H97" t="str">
        <f>IF(A97="","",D97-E97)</f>
        <v/>
      </c>
      <c r="I97" t="str">
        <f>IF(A97="","",H97-F97-G97)</f>
        <v/>
      </c>
      <c r="J97" s="15" t="str">
        <f>IFERROR(I97/D97,"")</f>
        <v/>
      </c>
    </row>
    <row r="98" spans="4:10" x14ac:dyDescent="0.2">
      <c r="D98" t="str">
        <f>IF(A98="","",B98-C98)</f>
        <v/>
      </c>
      <c r="H98" t="str">
        <f>IF(A98="","",D98-E98)</f>
        <v/>
      </c>
      <c r="I98" t="str">
        <f>IF(A98="","",H98-F98-G98)</f>
        <v/>
      </c>
      <c r="J98" s="15" t="str">
        <f>IFERROR(I98/D98,"")</f>
        <v/>
      </c>
    </row>
    <row r="99" spans="4:10" x14ac:dyDescent="0.2">
      <c r="D99" t="str">
        <f>IF(A99="","",B99-C99)</f>
        <v/>
      </c>
      <c r="H99" t="str">
        <f>IF(A99="","",D99-E99)</f>
        <v/>
      </c>
      <c r="I99" t="str">
        <f>IF(A99="","",H99-F99-G99)</f>
        <v/>
      </c>
      <c r="J99" s="15" t="str">
        <f>IFERROR(I99/D99,"")</f>
        <v/>
      </c>
    </row>
    <row r="100" spans="4:10" x14ac:dyDescent="0.2">
      <c r="D100" t="str">
        <f>IF(A100="","",B100-C100)</f>
        <v/>
      </c>
      <c r="H100" t="str">
        <f>IF(A100="","",D100-E100)</f>
        <v/>
      </c>
      <c r="I100" t="str">
        <f>IF(A100="","",H100-F100-G100)</f>
        <v/>
      </c>
      <c r="J100" s="15" t="str">
        <f>IFERROR(I100/D100,"")</f>
        <v/>
      </c>
    </row>
    <row r="101" spans="4:10" x14ac:dyDescent="0.2">
      <c r="D101" t="str">
        <f>IF(A101="","",B101-C101)</f>
        <v/>
      </c>
      <c r="H101" t="str">
        <f>IF(A101="","",D101-E101)</f>
        <v/>
      </c>
      <c r="I101" t="str">
        <f>IF(A101="","",H101-F101-G101)</f>
        <v/>
      </c>
      <c r="J101" s="15" t="str">
        <f>IFERROR(I101/D101,"")</f>
        <v/>
      </c>
    </row>
    <row r="102" spans="4:10" x14ac:dyDescent="0.2">
      <c r="D102" t="str">
        <f>IF(A102="","",B102-C102)</f>
        <v/>
      </c>
      <c r="H102" t="str">
        <f>IF(A102="","",D102-E102)</f>
        <v/>
      </c>
      <c r="I102" t="str">
        <f>IF(A102="","",H102-F102-G102)</f>
        <v/>
      </c>
      <c r="J102" s="15" t="str">
        <f>IFERROR(I102/D102,"")</f>
        <v/>
      </c>
    </row>
    <row r="103" spans="4:10" x14ac:dyDescent="0.2">
      <c r="D103" t="str">
        <f>IF(A103="","",B103-C103)</f>
        <v/>
      </c>
      <c r="H103" t="str">
        <f>IF(A103="","",D103-E103)</f>
        <v/>
      </c>
      <c r="I103" t="str">
        <f>IF(A103="","",H103-F103-G103)</f>
        <v/>
      </c>
      <c r="J103" s="15" t="str">
        <f>IFERROR(I103/D103,"")</f>
        <v/>
      </c>
    </row>
    <row r="104" spans="4:10" x14ac:dyDescent="0.2">
      <c r="D104" t="str">
        <f>IF(A104="","",B104-C104)</f>
        <v/>
      </c>
      <c r="H104" t="str">
        <f>IF(A104="","",D104-E104)</f>
        <v/>
      </c>
      <c r="I104" t="str">
        <f>IF(A104="","",H104-F104-G104)</f>
        <v/>
      </c>
      <c r="J104" s="15" t="str">
        <f>IFERROR(I104/D104,"")</f>
        <v/>
      </c>
    </row>
    <row r="105" spans="4:10" x14ac:dyDescent="0.2">
      <c r="D105" t="str">
        <f>IF(A105="","",B105-C105)</f>
        <v/>
      </c>
      <c r="H105" t="str">
        <f>IF(A105="","",D105-E105)</f>
        <v/>
      </c>
      <c r="I105" t="str">
        <f>IF(A105="","",H105-F105-G105)</f>
        <v/>
      </c>
      <c r="J105" s="15" t="str">
        <f>IFERROR(I105/D105,"")</f>
        <v/>
      </c>
    </row>
    <row r="106" spans="4:10" x14ac:dyDescent="0.2">
      <c r="D106" t="str">
        <f>IF(A106="","",B106-C106)</f>
        <v/>
      </c>
      <c r="H106" t="str">
        <f>IF(A106="","",D106-E106)</f>
        <v/>
      </c>
      <c r="I106" t="str">
        <f>IF(A106="","",H106-F106-G106)</f>
        <v/>
      </c>
      <c r="J106" s="15" t="str">
        <f>IFERROR(I106/D106,"")</f>
        <v/>
      </c>
    </row>
    <row r="107" spans="4:10" x14ac:dyDescent="0.2">
      <c r="D107" t="str">
        <f>IF(A107="","",B107-C107)</f>
        <v/>
      </c>
      <c r="H107" t="str">
        <f>IF(A107="","",D107-E107)</f>
        <v/>
      </c>
      <c r="I107" t="str">
        <f>IF(A107="","",H107-F107-G107)</f>
        <v/>
      </c>
      <c r="J107" s="15" t="str">
        <f>IFERROR(I107/D107,"")</f>
        <v/>
      </c>
    </row>
    <row r="108" spans="4:10" x14ac:dyDescent="0.2">
      <c r="D108" t="str">
        <f>IF(A108="","",B108-C108)</f>
        <v/>
      </c>
      <c r="H108" t="str">
        <f>IF(A108="","",D108-E108)</f>
        <v/>
      </c>
      <c r="I108" t="str">
        <f>IF(A108="","",H108-F108-G108)</f>
        <v/>
      </c>
      <c r="J108" s="15" t="str">
        <f>IFERROR(I108/D108,"")</f>
        <v/>
      </c>
    </row>
    <row r="109" spans="4:10" x14ac:dyDescent="0.2">
      <c r="D109" t="str">
        <f>IF(A109="","",B109-C109)</f>
        <v/>
      </c>
      <c r="H109" t="str">
        <f>IF(A109="","",D109-E109)</f>
        <v/>
      </c>
      <c r="I109" t="str">
        <f>IF(A109="","",H109-F109-G109)</f>
        <v/>
      </c>
      <c r="J109" s="15" t="str">
        <f>IFERROR(I109/D109,"")</f>
        <v/>
      </c>
    </row>
    <row r="110" spans="4:10" x14ac:dyDescent="0.2">
      <c r="D110" t="str">
        <f>IF(A110="","",B110-C110)</f>
        <v/>
      </c>
      <c r="H110" t="str">
        <f>IF(A110="","",D110-E110)</f>
        <v/>
      </c>
      <c r="I110" t="str">
        <f>IF(A110="","",H110-F110-G110)</f>
        <v/>
      </c>
      <c r="J110" s="15" t="str">
        <f>IFERROR(I110/D110,"")</f>
        <v/>
      </c>
    </row>
    <row r="111" spans="4:10" x14ac:dyDescent="0.2">
      <c r="D111" t="str">
        <f>IF(A111="","",B111-C111)</f>
        <v/>
      </c>
      <c r="H111" t="str">
        <f>IF(A111="","",D111-E111)</f>
        <v/>
      </c>
      <c r="I111" t="str">
        <f>IF(A111="","",H111-F111-G111)</f>
        <v/>
      </c>
      <c r="J111" s="15" t="str">
        <f>IFERROR(I111/D111,"")</f>
        <v/>
      </c>
    </row>
    <row r="112" spans="4:10" x14ac:dyDescent="0.2">
      <c r="D112" t="str">
        <f>IF(A112="","",B112-C112)</f>
        <v/>
      </c>
      <c r="H112" t="str">
        <f>IF(A112="","",D112-E112)</f>
        <v/>
      </c>
      <c r="I112" t="str">
        <f>IF(A112="","",H112-F112-G112)</f>
        <v/>
      </c>
      <c r="J112" s="15" t="str">
        <f>IFERROR(I112/D112,"")</f>
        <v/>
      </c>
    </row>
    <row r="113" spans="4:10" x14ac:dyDescent="0.2">
      <c r="D113" t="str">
        <f>IF(A113="","",B113-C113)</f>
        <v/>
      </c>
      <c r="H113" t="str">
        <f>IF(A113="","",D113-E113)</f>
        <v/>
      </c>
      <c r="I113" t="str">
        <f>IF(A113="","",H113-F113-G113)</f>
        <v/>
      </c>
      <c r="J113" s="15" t="str">
        <f>IFERROR(I113/D113,"")</f>
        <v/>
      </c>
    </row>
    <row r="114" spans="4:10" x14ac:dyDescent="0.2">
      <c r="D114" t="str">
        <f>IF(A114="","",B114-C114)</f>
        <v/>
      </c>
      <c r="H114" t="str">
        <f>IF(A114="","",D114-E114)</f>
        <v/>
      </c>
      <c r="I114" t="str">
        <f>IF(A114="","",H114-F114-G114)</f>
        <v/>
      </c>
      <c r="J114" s="15" t="str">
        <f>IFERROR(I114/D114,"")</f>
        <v/>
      </c>
    </row>
    <row r="115" spans="4:10" x14ac:dyDescent="0.2">
      <c r="D115" t="str">
        <f>IF(A115="","",B115-C115)</f>
        <v/>
      </c>
      <c r="H115" t="str">
        <f>IF(A115="","",D115-E115)</f>
        <v/>
      </c>
      <c r="I115" t="str">
        <f>IF(A115="","",H115-F115-G115)</f>
        <v/>
      </c>
      <c r="J115" s="15" t="str">
        <f>IFERROR(I115/D115,"")</f>
        <v/>
      </c>
    </row>
    <row r="116" spans="4:10" x14ac:dyDescent="0.2">
      <c r="D116" t="str">
        <f>IF(A116="","",B116-C116)</f>
        <v/>
      </c>
      <c r="H116" t="str">
        <f>IF(A116="","",D116-E116)</f>
        <v/>
      </c>
      <c r="I116" t="str">
        <f>IF(A116="","",H116-F116-G116)</f>
        <v/>
      </c>
      <c r="J116" s="15" t="str">
        <f>IFERROR(I116/D116,"")</f>
        <v/>
      </c>
    </row>
    <row r="117" spans="4:10" x14ac:dyDescent="0.2">
      <c r="D117" t="str">
        <f>IF(A117="","",B117-C117)</f>
        <v/>
      </c>
      <c r="H117" t="str">
        <f>IF(A117="","",D117-E117)</f>
        <v/>
      </c>
      <c r="I117" t="str">
        <f>IF(A117="","",H117-F117-G117)</f>
        <v/>
      </c>
      <c r="J117" s="15" t="str">
        <f>IFERROR(I117/D117,"")</f>
        <v/>
      </c>
    </row>
    <row r="118" spans="4:10" x14ac:dyDescent="0.2">
      <c r="D118" t="str">
        <f>IF(A118="","",B118-C118)</f>
        <v/>
      </c>
      <c r="H118" t="str">
        <f>IF(A118="","",D118-E118)</f>
        <v/>
      </c>
      <c r="I118" t="str">
        <f>IF(A118="","",H118-F118-G118)</f>
        <v/>
      </c>
      <c r="J118" s="15" t="str">
        <f>IFERROR(I118/D118,"")</f>
        <v/>
      </c>
    </row>
    <row r="119" spans="4:10" x14ac:dyDescent="0.2">
      <c r="D119" t="str">
        <f>IF(A119="","",B119-C119)</f>
        <v/>
      </c>
      <c r="H119" t="str">
        <f>IF(A119="","",D119-E119)</f>
        <v/>
      </c>
      <c r="I119" t="str">
        <f>IF(A119="","",H119-F119-G119)</f>
        <v/>
      </c>
      <c r="J119" s="15" t="str">
        <f>IFERROR(I119/D119,"")</f>
        <v/>
      </c>
    </row>
    <row r="120" spans="4:10" x14ac:dyDescent="0.2">
      <c r="D120" t="str">
        <f>IF(A120="","",B120-C120)</f>
        <v/>
      </c>
      <c r="H120" t="str">
        <f>IF(A120="","",D120-E120)</f>
        <v/>
      </c>
      <c r="I120" t="str">
        <f>IF(A120="","",H120-F120-G120)</f>
        <v/>
      </c>
      <c r="J120" s="15" t="str">
        <f>IFERROR(I120/D120,"")</f>
        <v/>
      </c>
    </row>
    <row r="121" spans="4:10" x14ac:dyDescent="0.2">
      <c r="D121" t="str">
        <f>IF(A121="","",B121-C121)</f>
        <v/>
      </c>
      <c r="H121" t="str">
        <f>IF(A121="","",D121-E121)</f>
        <v/>
      </c>
      <c r="I121" t="str">
        <f>IF(A121="","",H121-F121-G121)</f>
        <v/>
      </c>
      <c r="J121" s="15" t="str">
        <f>IFERROR(I121/D121,"")</f>
        <v/>
      </c>
    </row>
    <row r="122" spans="4:10" x14ac:dyDescent="0.2">
      <c r="D122" t="str">
        <f>IF(A122="","",B122-C122)</f>
        <v/>
      </c>
      <c r="H122" t="str">
        <f>IF(A122="","",D122-E122)</f>
        <v/>
      </c>
      <c r="I122" t="str">
        <f>IF(A122="","",H122-F122-G122)</f>
        <v/>
      </c>
      <c r="J122" s="15" t="str">
        <f>IFERROR(I122/D122,"")</f>
        <v/>
      </c>
    </row>
    <row r="123" spans="4:10" x14ac:dyDescent="0.2">
      <c r="D123" t="str">
        <f>IF(A123="","",B123-C123)</f>
        <v/>
      </c>
      <c r="H123" t="str">
        <f>IF(A123="","",D123-E123)</f>
        <v/>
      </c>
      <c r="I123" t="str">
        <f>IF(A123="","",H123-F123-G123)</f>
        <v/>
      </c>
      <c r="J123" s="15" t="str">
        <f>IFERROR(I123/D123,"")</f>
        <v/>
      </c>
    </row>
    <row r="124" spans="4:10" x14ac:dyDescent="0.2">
      <c r="D124" t="str">
        <f>IF(A124="","",B124-C124)</f>
        <v/>
      </c>
      <c r="H124" t="str">
        <f>IF(A124="","",D124-E124)</f>
        <v/>
      </c>
      <c r="I124" t="str">
        <f>IF(A124="","",H124-F124-G124)</f>
        <v/>
      </c>
      <c r="J124" s="15" t="str">
        <f>IFERROR(I124/D124,"")</f>
        <v/>
      </c>
    </row>
    <row r="125" spans="4:10" x14ac:dyDescent="0.2">
      <c r="D125" t="str">
        <f>IF(A125="","",B125-C125)</f>
        <v/>
      </c>
      <c r="H125" t="str">
        <f>IF(A125="","",D125-E125)</f>
        <v/>
      </c>
      <c r="I125" t="str">
        <f>IF(A125="","",H125-F125-G125)</f>
        <v/>
      </c>
      <c r="J125" s="15" t="str">
        <f>IFERROR(I125/D125,"")</f>
        <v/>
      </c>
    </row>
    <row r="126" spans="4:10" x14ac:dyDescent="0.2">
      <c r="D126" t="str">
        <f>IF(A126="","",B126-C126)</f>
        <v/>
      </c>
      <c r="H126" t="str">
        <f>IF(A126="","",D126-E126)</f>
        <v/>
      </c>
      <c r="I126" t="str">
        <f>IF(A126="","",H126-F126-G126)</f>
        <v/>
      </c>
      <c r="J126" s="15" t="str">
        <f>IFERROR(I126/D126,"")</f>
        <v/>
      </c>
    </row>
    <row r="127" spans="4:10" x14ac:dyDescent="0.2">
      <c r="D127" t="str">
        <f>IF(A127="","",B127-C127)</f>
        <v/>
      </c>
      <c r="H127" t="str">
        <f>IF(A127="","",D127-E127)</f>
        <v/>
      </c>
      <c r="I127" t="str">
        <f>IF(A127="","",H127-F127-G127)</f>
        <v/>
      </c>
      <c r="J127" s="15" t="str">
        <f>IFERROR(I127/D127,"")</f>
        <v/>
      </c>
    </row>
    <row r="128" spans="4:10" x14ac:dyDescent="0.2">
      <c r="D128" t="str">
        <f>IF(A128="","",B128-C128)</f>
        <v/>
      </c>
      <c r="H128" t="str">
        <f>IF(A128="","",D128-E128)</f>
        <v/>
      </c>
      <c r="I128" t="str">
        <f>IF(A128="","",H128-F128-G128)</f>
        <v/>
      </c>
      <c r="J128" s="15" t="str">
        <f>IFERROR(I128/D128,"")</f>
        <v/>
      </c>
    </row>
    <row r="129" spans="4:10" x14ac:dyDescent="0.2">
      <c r="D129" t="str">
        <f>IF(A129="","",B129-C129)</f>
        <v/>
      </c>
      <c r="H129" t="str">
        <f>IF(A129="","",D129-E129)</f>
        <v/>
      </c>
      <c r="I129" t="str">
        <f>IF(A129="","",H129-F129-G129)</f>
        <v/>
      </c>
      <c r="J129" s="15" t="str">
        <f>IFERROR(I129/D129,"")</f>
        <v/>
      </c>
    </row>
    <row r="130" spans="4:10" x14ac:dyDescent="0.2">
      <c r="D130" t="str">
        <f>IF(A130="","",B130-C130)</f>
        <v/>
      </c>
      <c r="H130" t="str">
        <f>IF(A130="","",D130-E130)</f>
        <v/>
      </c>
      <c r="I130" t="str">
        <f>IF(A130="","",H130-F130-G130)</f>
        <v/>
      </c>
      <c r="J130" s="15" t="str">
        <f>IFERROR(I130/D130,"")</f>
        <v/>
      </c>
    </row>
    <row r="131" spans="4:10" x14ac:dyDescent="0.2">
      <c r="D131" t="str">
        <f>IF(A131="","",B131-C131)</f>
        <v/>
      </c>
      <c r="H131" t="str">
        <f>IF(A131="","",D131-E131)</f>
        <v/>
      </c>
      <c r="I131" t="str">
        <f>IF(A131="","",H131-F131-G131)</f>
        <v/>
      </c>
      <c r="J131" s="15" t="str">
        <f>IFERROR(I131/D131,"")</f>
        <v/>
      </c>
    </row>
    <row r="132" spans="4:10" x14ac:dyDescent="0.2">
      <c r="D132" t="str">
        <f>IF(A132="","",B132-C132)</f>
        <v/>
      </c>
      <c r="H132" t="str">
        <f>IF(A132="","",D132-E132)</f>
        <v/>
      </c>
      <c r="I132" t="str">
        <f>IF(A132="","",H132-F132-G132)</f>
        <v/>
      </c>
      <c r="J132" s="15" t="str">
        <f>IFERROR(I132/D132,"")</f>
        <v/>
      </c>
    </row>
    <row r="133" spans="4:10" x14ac:dyDescent="0.2">
      <c r="D133" t="str">
        <f>IF(A133="","",B133-C133)</f>
        <v/>
      </c>
      <c r="H133" t="str">
        <f>IF(A133="","",D133-E133)</f>
        <v/>
      </c>
      <c r="I133" t="str">
        <f>IF(A133="","",H133-F133-G133)</f>
        <v/>
      </c>
      <c r="J133" s="15" t="str">
        <f>IFERROR(I133/D133,"")</f>
        <v/>
      </c>
    </row>
    <row r="134" spans="4:10" x14ac:dyDescent="0.2">
      <c r="D134" t="str">
        <f>IF(A134="","",B134-C134)</f>
        <v/>
      </c>
      <c r="H134" t="str">
        <f>IF(A134="","",D134-E134)</f>
        <v/>
      </c>
      <c r="I134" t="str">
        <f>IF(A134="","",H134-F134-G134)</f>
        <v/>
      </c>
      <c r="J134" s="15" t="str">
        <f>IFERROR(I134/D134,"")</f>
        <v/>
      </c>
    </row>
    <row r="135" spans="4:10" x14ac:dyDescent="0.2">
      <c r="D135" t="str">
        <f>IF(A135="","",B135-C135)</f>
        <v/>
      </c>
      <c r="H135" t="str">
        <f>IF(A135="","",D135-E135)</f>
        <v/>
      </c>
      <c r="I135" t="str">
        <f>IF(A135="","",H135-F135-G135)</f>
        <v/>
      </c>
      <c r="J135" s="15" t="str">
        <f>IFERROR(I135/D135,"")</f>
        <v/>
      </c>
    </row>
    <row r="136" spans="4:10" x14ac:dyDescent="0.2">
      <c r="D136" t="str">
        <f>IF(A136="","",B136-C136)</f>
        <v/>
      </c>
      <c r="H136" t="str">
        <f>IF(A136="","",D136-E136)</f>
        <v/>
      </c>
      <c r="I136" t="str">
        <f>IF(A136="","",H136-F136-G136)</f>
        <v/>
      </c>
      <c r="J136" s="15" t="str">
        <f>IFERROR(I136/D136,"")</f>
        <v/>
      </c>
    </row>
    <row r="137" spans="4:10" x14ac:dyDescent="0.2">
      <c r="D137" t="str">
        <f>IF(A137="","",B137-C137)</f>
        <v/>
      </c>
      <c r="H137" t="str">
        <f>IF(A137="","",D137-E137)</f>
        <v/>
      </c>
      <c r="I137" t="str">
        <f>IF(A137="","",H137-F137-G137)</f>
        <v/>
      </c>
      <c r="J137" s="15" t="str">
        <f>IFERROR(I137/D137,"")</f>
        <v/>
      </c>
    </row>
    <row r="138" spans="4:10" x14ac:dyDescent="0.2">
      <c r="D138" t="str">
        <f>IF(A138="","",B138-C138)</f>
        <v/>
      </c>
      <c r="H138" t="str">
        <f>IF(A138="","",D138-E138)</f>
        <v/>
      </c>
      <c r="I138" t="str">
        <f>IF(A138="","",H138-F138-G138)</f>
        <v/>
      </c>
      <c r="J138" s="15" t="str">
        <f>IFERROR(I138/D138,"")</f>
        <v/>
      </c>
    </row>
    <row r="139" spans="4:10" x14ac:dyDescent="0.2">
      <c r="D139" t="str">
        <f>IF(A139="","",B139-C139)</f>
        <v/>
      </c>
      <c r="H139" t="str">
        <f>IF(A139="","",D139-E139)</f>
        <v/>
      </c>
      <c r="I139" t="str">
        <f>IF(A139="","",H139-F139-G139)</f>
        <v/>
      </c>
      <c r="J139" s="15" t="str">
        <f>IFERROR(I139/D139,"")</f>
        <v/>
      </c>
    </row>
    <row r="140" spans="4:10" x14ac:dyDescent="0.2">
      <c r="D140" t="str">
        <f>IF(A140="","",B140-C140)</f>
        <v/>
      </c>
      <c r="H140" t="str">
        <f>IF(A140="","",D140-E140)</f>
        <v/>
      </c>
      <c r="I140" t="str">
        <f>IF(A140="","",H140-F140-G140)</f>
        <v/>
      </c>
      <c r="J140" s="15" t="str">
        <f>IFERROR(I140/D140,"")</f>
        <v/>
      </c>
    </row>
    <row r="141" spans="4:10" x14ac:dyDescent="0.2">
      <c r="D141" t="str">
        <f>IF(A141="","",B141-C141)</f>
        <v/>
      </c>
      <c r="H141" t="str">
        <f>IF(A141="","",D141-E141)</f>
        <v/>
      </c>
      <c r="I141" t="str">
        <f>IF(A141="","",H141-F141-G141)</f>
        <v/>
      </c>
      <c r="J141" s="15" t="str">
        <f>IFERROR(I141/D141,"")</f>
        <v/>
      </c>
    </row>
    <row r="142" spans="4:10" x14ac:dyDescent="0.2">
      <c r="D142" t="str">
        <f>IF(A142="","",B142-C142)</f>
        <v/>
      </c>
      <c r="H142" t="str">
        <f>IF(A142="","",D142-E142)</f>
        <v/>
      </c>
      <c r="I142" t="str">
        <f>IF(A142="","",H142-F142-G142)</f>
        <v/>
      </c>
      <c r="J142" s="15" t="str">
        <f>IFERROR(I142/D142,"")</f>
        <v/>
      </c>
    </row>
    <row r="143" spans="4:10" x14ac:dyDescent="0.2">
      <c r="D143" t="str">
        <f>IF(A143="","",B143-C143)</f>
        <v/>
      </c>
      <c r="H143" t="str">
        <f>IF(A143="","",D143-E143)</f>
        <v/>
      </c>
      <c r="I143" t="str">
        <f>IF(A143="","",H143-F143-G143)</f>
        <v/>
      </c>
      <c r="J143" s="15" t="str">
        <f>IFERROR(I143/D143,"")</f>
        <v/>
      </c>
    </row>
    <row r="144" spans="4:10" x14ac:dyDescent="0.2">
      <c r="D144" t="str">
        <f>IF(A144="","",B144-C144)</f>
        <v/>
      </c>
      <c r="H144" t="str">
        <f>IF(A144="","",D144-E144)</f>
        <v/>
      </c>
      <c r="I144" t="str">
        <f>IF(A144="","",H144-F144-G144)</f>
        <v/>
      </c>
      <c r="J144" s="15" t="str">
        <f>IFERROR(I144/D144,"")</f>
        <v/>
      </c>
    </row>
    <row r="145" spans="4:10" x14ac:dyDescent="0.2">
      <c r="D145" t="str">
        <f>IF(A145="","",B145-C145)</f>
        <v/>
      </c>
      <c r="H145" t="str">
        <f>IF(A145="","",D145-E145)</f>
        <v/>
      </c>
      <c r="I145" t="str">
        <f>IF(A145="","",H145-F145-G145)</f>
        <v/>
      </c>
      <c r="J145" s="15" t="str">
        <f>IFERROR(I145/D145,"")</f>
        <v/>
      </c>
    </row>
    <row r="146" spans="4:10" x14ac:dyDescent="0.2">
      <c r="D146" t="str">
        <f>IF(A146="","",B146-C146)</f>
        <v/>
      </c>
      <c r="H146" t="str">
        <f>IF(A146="","",D146-E146)</f>
        <v/>
      </c>
      <c r="I146" t="str">
        <f>IF(A146="","",H146-F146-G146)</f>
        <v/>
      </c>
      <c r="J146" s="15" t="str">
        <f>IFERROR(I146/D146,"")</f>
        <v/>
      </c>
    </row>
    <row r="147" spans="4:10" x14ac:dyDescent="0.2">
      <c r="D147" t="str">
        <f>IF(A147="","",B147-C147)</f>
        <v/>
      </c>
      <c r="H147" t="str">
        <f>IF(A147="","",D147-E147)</f>
        <v/>
      </c>
      <c r="I147" t="str">
        <f>IF(A147="","",H147-F147-G147)</f>
        <v/>
      </c>
      <c r="J147" s="15" t="str">
        <f>IFERROR(I147/D147,"")</f>
        <v/>
      </c>
    </row>
    <row r="148" spans="4:10" x14ac:dyDescent="0.2">
      <c r="D148" t="str">
        <f>IF(A148="","",B148-C148)</f>
        <v/>
      </c>
      <c r="H148" t="str">
        <f>IF(A148="","",D148-E148)</f>
        <v/>
      </c>
      <c r="I148" t="str">
        <f>IF(A148="","",H148-F148-G148)</f>
        <v/>
      </c>
      <c r="J148" s="15" t="str">
        <f>IFERROR(I148/D148,"")</f>
        <v/>
      </c>
    </row>
    <row r="149" spans="4:10" x14ac:dyDescent="0.2">
      <c r="D149" t="str">
        <f>IF(A149="","",B149-C149)</f>
        <v/>
      </c>
      <c r="H149" t="str">
        <f>IF(A149="","",D149-E149)</f>
        <v/>
      </c>
      <c r="I149" t="str">
        <f>IF(A149="","",H149-F149-G149)</f>
        <v/>
      </c>
      <c r="J149" s="15" t="str">
        <f>IFERROR(I149/D149,"")</f>
        <v/>
      </c>
    </row>
    <row r="150" spans="4:10" x14ac:dyDescent="0.2">
      <c r="D150" t="str">
        <f>IF(A150="","",B150-C150)</f>
        <v/>
      </c>
      <c r="H150" t="str">
        <f>IF(A150="","",D150-E150)</f>
        <v/>
      </c>
      <c r="I150" t="str">
        <f>IF(A150="","",H150-F150-G150)</f>
        <v/>
      </c>
      <c r="J150" s="15" t="str">
        <f>IFERROR(I150/D150,"")</f>
        <v/>
      </c>
    </row>
    <row r="151" spans="4:10" x14ac:dyDescent="0.2">
      <c r="D151" t="str">
        <f>IF(A151="","",B151-C151)</f>
        <v/>
      </c>
      <c r="H151" t="str">
        <f>IF(A151="","",D151-E151)</f>
        <v/>
      </c>
      <c r="I151" t="str">
        <f>IF(A151="","",H151-F151-G151)</f>
        <v/>
      </c>
      <c r="J151" s="15" t="str">
        <f>IFERROR(I151/D151,"")</f>
        <v/>
      </c>
    </row>
    <row r="152" spans="4:10" x14ac:dyDescent="0.2">
      <c r="D152" t="str">
        <f>IF(A152="","",B152-C152)</f>
        <v/>
      </c>
      <c r="H152" t="str">
        <f>IF(A152="","",D152-E152)</f>
        <v/>
      </c>
      <c r="I152" t="str">
        <f>IF(A152="","",H152-F152-G152)</f>
        <v/>
      </c>
      <c r="J152" s="15" t="str">
        <f>IFERROR(I152/D152,"")</f>
        <v/>
      </c>
    </row>
    <row r="153" spans="4:10" x14ac:dyDescent="0.2">
      <c r="D153" t="str">
        <f>IF(A153="","",B153-C153)</f>
        <v/>
      </c>
      <c r="H153" t="str">
        <f>IF(A153="","",D153-E153)</f>
        <v/>
      </c>
      <c r="I153" t="str">
        <f>IF(A153="","",H153-F153-G153)</f>
        <v/>
      </c>
      <c r="J153" s="15" t="str">
        <f>IFERROR(I153/D153,"")</f>
        <v/>
      </c>
    </row>
    <row r="154" spans="4:10" x14ac:dyDescent="0.2">
      <c r="D154" t="str">
        <f>IF(A154="","",B154-C154)</f>
        <v/>
      </c>
      <c r="H154" t="str">
        <f>IF(A154="","",D154-E154)</f>
        <v/>
      </c>
      <c r="I154" t="str">
        <f>IF(A154="","",H154-F154-G154)</f>
        <v/>
      </c>
      <c r="J154" s="15" t="str">
        <f>IFERROR(I154/D154,"")</f>
        <v/>
      </c>
    </row>
    <row r="155" spans="4:10" x14ac:dyDescent="0.2">
      <c r="D155" t="str">
        <f>IF(A155="","",B155-C155)</f>
        <v/>
      </c>
      <c r="H155" t="str">
        <f>IF(A155="","",D155-E155)</f>
        <v/>
      </c>
      <c r="I155" t="str">
        <f>IF(A155="","",H155-F155-G155)</f>
        <v/>
      </c>
      <c r="J155" s="15" t="str">
        <f>IFERROR(I155/D155,"")</f>
        <v/>
      </c>
    </row>
    <row r="156" spans="4:10" x14ac:dyDescent="0.2">
      <c r="D156" t="str">
        <f>IF(A156="","",B156-C156)</f>
        <v/>
      </c>
      <c r="H156" t="str">
        <f>IF(A156="","",D156-E156)</f>
        <v/>
      </c>
      <c r="I156" t="str">
        <f>IF(A156="","",H156-F156-G156)</f>
        <v/>
      </c>
      <c r="J156" s="15" t="str">
        <f>IFERROR(I156/D156,"")</f>
        <v/>
      </c>
    </row>
    <row r="157" spans="4:10" x14ac:dyDescent="0.2">
      <c r="D157" t="str">
        <f>IF(A157="","",B157-C157)</f>
        <v/>
      </c>
      <c r="H157" t="str">
        <f>IF(A157="","",D157-E157)</f>
        <v/>
      </c>
      <c r="I157" t="str">
        <f>IF(A157="","",H157-F157-G157)</f>
        <v/>
      </c>
      <c r="J157" s="15" t="str">
        <f>IFERROR(I157/D157,"")</f>
        <v/>
      </c>
    </row>
    <row r="158" spans="4:10" x14ac:dyDescent="0.2">
      <c r="D158" t="str">
        <f>IF(A158="","",B158-C158)</f>
        <v/>
      </c>
      <c r="H158" t="str">
        <f>IF(A158="","",D158-E158)</f>
        <v/>
      </c>
      <c r="I158" t="str">
        <f>IF(A158="","",H158-F158-G158)</f>
        <v/>
      </c>
      <c r="J158" s="15" t="str">
        <f>IFERROR(I158/D158,"")</f>
        <v/>
      </c>
    </row>
    <row r="159" spans="4:10" x14ac:dyDescent="0.2">
      <c r="D159" t="str">
        <f>IF(A159="","",B159-C159)</f>
        <v/>
      </c>
      <c r="H159" t="str">
        <f>IF(A159="","",D159-E159)</f>
        <v/>
      </c>
      <c r="I159" t="str">
        <f>IF(A159="","",H159-F159-G159)</f>
        <v/>
      </c>
      <c r="J159" s="15" t="str">
        <f>IFERROR(I159/D159,"")</f>
        <v/>
      </c>
    </row>
    <row r="160" spans="4:10" x14ac:dyDescent="0.2">
      <c r="D160" t="str">
        <f>IF(A160="","",B160-C160)</f>
        <v/>
      </c>
      <c r="H160" t="str">
        <f>IF(A160="","",D160-E160)</f>
        <v/>
      </c>
      <c r="I160" t="str">
        <f>IF(A160="","",H160-F160-G160)</f>
        <v/>
      </c>
      <c r="J160" s="15" t="str">
        <f>IFERROR(I160/D160,"")</f>
        <v/>
      </c>
    </row>
    <row r="161" spans="4:10" x14ac:dyDescent="0.2">
      <c r="D161" t="str">
        <f>IF(A161="","",B161-C161)</f>
        <v/>
      </c>
      <c r="H161" t="str">
        <f>IF(A161="","",D161-E161)</f>
        <v/>
      </c>
      <c r="I161" t="str">
        <f>IF(A161="","",H161-F161-G161)</f>
        <v/>
      </c>
      <c r="J161" s="15" t="str">
        <f>IFERROR(I161/D161,"")</f>
        <v/>
      </c>
    </row>
    <row r="162" spans="4:10" x14ac:dyDescent="0.2">
      <c r="D162" t="str">
        <f>IF(A162="","",B162-C162)</f>
        <v/>
      </c>
      <c r="H162" t="str">
        <f>IF(A162="","",D162-E162)</f>
        <v/>
      </c>
      <c r="I162" t="str">
        <f>IF(A162="","",H162-F162-G162)</f>
        <v/>
      </c>
      <c r="J162" s="15" t="str">
        <f>IFERROR(I162/D162,"")</f>
        <v/>
      </c>
    </row>
    <row r="163" spans="4:10" x14ac:dyDescent="0.2">
      <c r="D163" t="str">
        <f>IF(A163="","",B163-C163)</f>
        <v/>
      </c>
      <c r="H163" t="str">
        <f>IF(A163="","",D163-E163)</f>
        <v/>
      </c>
      <c r="I163" t="str">
        <f>IF(A163="","",H163-F163-G163)</f>
        <v/>
      </c>
      <c r="J163" s="15" t="str">
        <f>IFERROR(I163/D163,"")</f>
        <v/>
      </c>
    </row>
    <row r="164" spans="4:10" x14ac:dyDescent="0.2">
      <c r="D164" t="str">
        <f>IF(A164="","",B164-C164)</f>
        <v/>
      </c>
      <c r="H164" t="str">
        <f>IF(A164="","",D164-E164)</f>
        <v/>
      </c>
      <c r="I164" t="str">
        <f>IF(A164="","",H164-F164-G164)</f>
        <v/>
      </c>
      <c r="J164" s="15" t="str">
        <f>IFERROR(I164/D164,"")</f>
        <v/>
      </c>
    </row>
    <row r="165" spans="4:10" x14ac:dyDescent="0.2">
      <c r="D165" t="str">
        <f>IF(A165="","",B165-C165)</f>
        <v/>
      </c>
      <c r="H165" t="str">
        <f>IF(A165="","",D165-E165)</f>
        <v/>
      </c>
      <c r="I165" t="str">
        <f>IF(A165="","",H165-F165-G165)</f>
        <v/>
      </c>
      <c r="J165" s="15" t="str">
        <f>IFERROR(I165/D165,"")</f>
        <v/>
      </c>
    </row>
    <row r="166" spans="4:10" x14ac:dyDescent="0.2">
      <c r="D166" t="str">
        <f>IF(A166="","",B166-C166)</f>
        <v/>
      </c>
      <c r="H166" t="str">
        <f>IF(A166="","",D166-E166)</f>
        <v/>
      </c>
      <c r="I166" t="str">
        <f>IF(A166="","",H166-F166-G166)</f>
        <v/>
      </c>
      <c r="J166" s="15" t="str">
        <f>IFERROR(I166/D166,"")</f>
        <v/>
      </c>
    </row>
    <row r="167" spans="4:10" x14ac:dyDescent="0.2">
      <c r="D167" t="str">
        <f>IF(A167="","",B167-C167)</f>
        <v/>
      </c>
      <c r="H167" t="str">
        <f>IF(A167="","",D167-E167)</f>
        <v/>
      </c>
      <c r="I167" t="str">
        <f>IF(A167="","",H167-F167-G167)</f>
        <v/>
      </c>
      <c r="J167" s="15" t="str">
        <f>IFERROR(I167/D167,"")</f>
        <v/>
      </c>
    </row>
    <row r="168" spans="4:10" x14ac:dyDescent="0.2">
      <c r="D168" t="str">
        <f>IF(A168="","",B168-C168)</f>
        <v/>
      </c>
      <c r="H168" t="str">
        <f>IF(A168="","",D168-E168)</f>
        <v/>
      </c>
      <c r="I168" t="str">
        <f>IF(A168="","",H168-F168-G168)</f>
        <v/>
      </c>
      <c r="J168" s="15" t="str">
        <f>IFERROR(I168/D168,"")</f>
        <v/>
      </c>
    </row>
    <row r="169" spans="4:10" x14ac:dyDescent="0.2">
      <c r="D169" t="str">
        <f>IF(A169="","",B169-C169)</f>
        <v/>
      </c>
      <c r="H169" t="str">
        <f>IF(A169="","",D169-E169)</f>
        <v/>
      </c>
      <c r="I169" t="str">
        <f>IF(A169="","",H169-F169-G169)</f>
        <v/>
      </c>
      <c r="J169" s="15" t="str">
        <f>IFERROR(I169/D169,"")</f>
        <v/>
      </c>
    </row>
    <row r="170" spans="4:10" x14ac:dyDescent="0.2">
      <c r="D170" t="str">
        <f>IF(A170="","",B170-C170)</f>
        <v/>
      </c>
      <c r="H170" t="str">
        <f>IF(A170="","",D170-E170)</f>
        <v/>
      </c>
      <c r="I170" t="str">
        <f>IF(A170="","",H170-F170-G170)</f>
        <v/>
      </c>
      <c r="J170" s="15" t="str">
        <f>IFERROR(I170/D170,"")</f>
        <v/>
      </c>
    </row>
    <row r="171" spans="4:10" x14ac:dyDescent="0.2">
      <c r="D171" t="str">
        <f>IF(A171="","",B171-C171)</f>
        <v/>
      </c>
      <c r="H171" t="str">
        <f>IF(A171="","",D171-E171)</f>
        <v/>
      </c>
      <c r="I171" t="str">
        <f>IF(A171="","",H171-F171-G171)</f>
        <v/>
      </c>
      <c r="J171" s="15" t="str">
        <f>IFERROR(I171/D171,"")</f>
        <v/>
      </c>
    </row>
    <row r="172" spans="4:10" x14ac:dyDescent="0.2">
      <c r="D172" t="str">
        <f>IF(A172="","",B172-C172)</f>
        <v/>
      </c>
      <c r="H172" t="str">
        <f>IF(A172="","",D172-E172)</f>
        <v/>
      </c>
      <c r="I172" t="str">
        <f>IF(A172="","",H172-F172-G172)</f>
        <v/>
      </c>
      <c r="J172" s="15" t="str">
        <f>IFERROR(I172/D172,"")</f>
        <v/>
      </c>
    </row>
    <row r="173" spans="4:10" x14ac:dyDescent="0.2">
      <c r="D173" t="str">
        <f>IF(A173="","",B173-C173)</f>
        <v/>
      </c>
      <c r="H173" t="str">
        <f>IF(A173="","",D173-E173)</f>
        <v/>
      </c>
      <c r="I173" t="str">
        <f>IF(A173="","",H173-F173-G173)</f>
        <v/>
      </c>
      <c r="J173" s="15" t="str">
        <f>IFERROR(I173/D173,"")</f>
        <v/>
      </c>
    </row>
    <row r="174" spans="4:10" x14ac:dyDescent="0.2">
      <c r="D174" t="str">
        <f>IF(A174="","",B174-C174)</f>
        <v/>
      </c>
      <c r="H174" t="str">
        <f>IF(A174="","",D174-E174)</f>
        <v/>
      </c>
      <c r="I174" t="str">
        <f>IF(A174="","",H174-F174-G174)</f>
        <v/>
      </c>
      <c r="J174" s="15" t="str">
        <f>IFERROR(I174/D174,"")</f>
        <v/>
      </c>
    </row>
    <row r="175" spans="4:10" x14ac:dyDescent="0.2">
      <c r="D175" t="str">
        <f>IF(A175="","",B175-C175)</f>
        <v/>
      </c>
      <c r="H175" t="str">
        <f>IF(A175="","",D175-E175)</f>
        <v/>
      </c>
      <c r="I175" t="str">
        <f>IF(A175="","",H175-F175-G175)</f>
        <v/>
      </c>
      <c r="J175" s="15" t="str">
        <f>IFERROR(I175/D175,"")</f>
        <v/>
      </c>
    </row>
    <row r="176" spans="4:10" x14ac:dyDescent="0.2">
      <c r="D176" t="str">
        <f>IF(A176="","",B176-C176)</f>
        <v/>
      </c>
      <c r="H176" t="str">
        <f>IF(A176="","",D176-E176)</f>
        <v/>
      </c>
      <c r="I176" t="str">
        <f>IF(A176="","",H176-F176-G176)</f>
        <v/>
      </c>
      <c r="J176" s="15" t="str">
        <f>IFERROR(I176/D176,"")</f>
        <v/>
      </c>
    </row>
    <row r="177" spans="4:10" x14ac:dyDescent="0.2">
      <c r="D177" t="str">
        <f>IF(A177="","",B177-C177)</f>
        <v/>
      </c>
      <c r="H177" t="str">
        <f>IF(A177="","",D177-E177)</f>
        <v/>
      </c>
      <c r="I177" t="str">
        <f>IF(A177="","",H177-F177-G177)</f>
        <v/>
      </c>
      <c r="J177" s="15" t="str">
        <f>IFERROR(I177/D177,"")</f>
        <v/>
      </c>
    </row>
    <row r="178" spans="4:10" x14ac:dyDescent="0.2">
      <c r="D178" t="str">
        <f>IF(A178="","",B178-C178)</f>
        <v/>
      </c>
      <c r="H178" t="str">
        <f>IF(A178="","",D178-E178)</f>
        <v/>
      </c>
      <c r="I178" t="str">
        <f>IF(A178="","",H178-F178-G178)</f>
        <v/>
      </c>
      <c r="J178" s="15" t="str">
        <f>IFERROR(I178/D178,"")</f>
        <v/>
      </c>
    </row>
    <row r="179" spans="4:10" x14ac:dyDescent="0.2">
      <c r="D179" t="str">
        <f>IF(A179="","",B179-C179)</f>
        <v/>
      </c>
      <c r="H179" t="str">
        <f>IF(A179="","",D179-E179)</f>
        <v/>
      </c>
      <c r="I179" t="str">
        <f>IF(A179="","",H179-F179-G179)</f>
        <v/>
      </c>
      <c r="J179" s="15" t="str">
        <f>IFERROR(I179/D179,"")</f>
        <v/>
      </c>
    </row>
    <row r="180" spans="4:10" x14ac:dyDescent="0.2">
      <c r="D180" t="str">
        <f>IF(A180="","",B180-C180)</f>
        <v/>
      </c>
      <c r="H180" t="str">
        <f>IF(A180="","",D180-E180)</f>
        <v/>
      </c>
      <c r="I180" t="str">
        <f>IF(A180="","",H180-F180-G180)</f>
        <v/>
      </c>
      <c r="J180" s="15" t="str">
        <f>IFERROR(I180/D180,"")</f>
        <v/>
      </c>
    </row>
    <row r="181" spans="4:10" x14ac:dyDescent="0.2">
      <c r="D181" t="str">
        <f>IF(A181="","",B181-C181)</f>
        <v/>
      </c>
      <c r="H181" t="str">
        <f>IF(A181="","",D181-E181)</f>
        <v/>
      </c>
      <c r="I181" t="str">
        <f>IF(A181="","",H181-F181-G181)</f>
        <v/>
      </c>
      <c r="J181" s="15" t="str">
        <f>IFERROR(I181/D181,"")</f>
        <v/>
      </c>
    </row>
    <row r="182" spans="4:10" x14ac:dyDescent="0.2">
      <c r="D182" t="str">
        <f>IF(A182="","",B182-C182)</f>
        <v/>
      </c>
      <c r="H182" t="str">
        <f>IF(A182="","",D182-E182)</f>
        <v/>
      </c>
      <c r="I182" t="str">
        <f>IF(A182="","",H182-F182-G182)</f>
        <v/>
      </c>
      <c r="J182" s="15" t="str">
        <f>IFERROR(I182/D182,"")</f>
        <v/>
      </c>
    </row>
    <row r="183" spans="4:10" x14ac:dyDescent="0.2">
      <c r="D183" t="str">
        <f>IF(A183="","",B183-C183)</f>
        <v/>
      </c>
      <c r="H183" t="str">
        <f>IF(A183="","",D183-E183)</f>
        <v/>
      </c>
      <c r="I183" t="str">
        <f>IF(A183="","",H183-F183-G183)</f>
        <v/>
      </c>
      <c r="J183" s="15" t="str">
        <f>IFERROR(I183/D183,"")</f>
        <v/>
      </c>
    </row>
    <row r="184" spans="4:10" x14ac:dyDescent="0.2">
      <c r="D184" t="str">
        <f>IF(A184="","",B184-C184)</f>
        <v/>
      </c>
      <c r="H184" t="str">
        <f>IF(A184="","",D184-E184)</f>
        <v/>
      </c>
      <c r="I184" t="str">
        <f>IF(A184="","",H184-F184-G184)</f>
        <v/>
      </c>
      <c r="J184" s="15" t="str">
        <f>IFERROR(I184/D184,"")</f>
        <v/>
      </c>
    </row>
    <row r="185" spans="4:10" x14ac:dyDescent="0.2">
      <c r="D185" t="str">
        <f>IF(A185="","",B185-C185)</f>
        <v/>
      </c>
      <c r="H185" t="str">
        <f>IF(A185="","",D185-E185)</f>
        <v/>
      </c>
      <c r="I185" t="str">
        <f>IF(A185="","",H185-F185-G185)</f>
        <v/>
      </c>
      <c r="J185" s="15" t="str">
        <f>IFERROR(I185/D185,"")</f>
        <v/>
      </c>
    </row>
    <row r="186" spans="4:10" x14ac:dyDescent="0.2">
      <c r="D186" t="str">
        <f>IF(A186="","",B186-C186)</f>
        <v/>
      </c>
      <c r="H186" t="str">
        <f>IF(A186="","",D186-E186)</f>
        <v/>
      </c>
      <c r="I186" t="str">
        <f>IF(A186="","",H186-F186-G186)</f>
        <v/>
      </c>
      <c r="J186" s="15" t="str">
        <f>IFERROR(I186/D186,"")</f>
        <v/>
      </c>
    </row>
    <row r="187" spans="4:10" x14ac:dyDescent="0.2">
      <c r="D187" t="str">
        <f>IF(A187="","",B187-C187)</f>
        <v/>
      </c>
      <c r="H187" t="str">
        <f>IF(A187="","",D187-E187)</f>
        <v/>
      </c>
      <c r="I187" t="str">
        <f>IF(A187="","",H187-F187-G187)</f>
        <v/>
      </c>
      <c r="J187" s="15" t="str">
        <f>IFERROR(I187/D187,"")</f>
        <v/>
      </c>
    </row>
    <row r="188" spans="4:10" x14ac:dyDescent="0.2">
      <c r="D188" t="str">
        <f>IF(A188="","",B188-C188)</f>
        <v/>
      </c>
      <c r="H188" t="str">
        <f>IF(A188="","",D188-E188)</f>
        <v/>
      </c>
      <c r="I188" t="str">
        <f>IF(A188="","",H188-F188-G188)</f>
        <v/>
      </c>
      <c r="J188" s="15" t="str">
        <f>IFERROR(I188/D188,"")</f>
        <v/>
      </c>
    </row>
    <row r="189" spans="4:10" x14ac:dyDescent="0.2">
      <c r="D189" t="str">
        <f>IF(A189="","",B189-C189)</f>
        <v/>
      </c>
      <c r="H189" t="str">
        <f>IF(A189="","",D189-E189)</f>
        <v/>
      </c>
      <c r="I189" t="str">
        <f>IF(A189="","",H189-F189-G189)</f>
        <v/>
      </c>
      <c r="J189" s="15" t="str">
        <f>IFERROR(I189/D189,"")</f>
        <v/>
      </c>
    </row>
    <row r="190" spans="4:10" x14ac:dyDescent="0.2">
      <c r="D190" t="str">
        <f>IF(A190="","",B190-C190)</f>
        <v/>
      </c>
      <c r="H190" t="str">
        <f>IF(A190="","",D190-E190)</f>
        <v/>
      </c>
      <c r="I190" t="str">
        <f>IF(A190="","",H190-F190-G190)</f>
        <v/>
      </c>
      <c r="J190" s="15" t="str">
        <f>IFERROR(I190/D190,"")</f>
        <v/>
      </c>
    </row>
    <row r="191" spans="4:10" x14ac:dyDescent="0.2">
      <c r="D191" t="str">
        <f>IF(A191="","",B191-C191)</f>
        <v/>
      </c>
      <c r="H191" t="str">
        <f>IF(A191="","",D191-E191)</f>
        <v/>
      </c>
      <c r="I191" t="str">
        <f>IF(A191="","",H191-F191-G191)</f>
        <v/>
      </c>
      <c r="J191" s="15" t="str">
        <f>IFERROR(I191/D191,"")</f>
        <v/>
      </c>
    </row>
    <row r="192" spans="4:10" x14ac:dyDescent="0.2">
      <c r="D192" t="str">
        <f>IF(A192="","",B192-C192)</f>
        <v/>
      </c>
      <c r="H192" t="str">
        <f>IF(A192="","",D192-E192)</f>
        <v/>
      </c>
      <c r="I192" t="str">
        <f>IF(A192="","",H192-F192-G192)</f>
        <v/>
      </c>
      <c r="J192" s="15" t="str">
        <f>IFERROR(I192/D192,"")</f>
        <v/>
      </c>
    </row>
    <row r="193" spans="4:10" x14ac:dyDescent="0.2">
      <c r="D193" t="str">
        <f>IF(A193="","",B193-C193)</f>
        <v/>
      </c>
      <c r="H193" t="str">
        <f>IF(A193="","",D193-E193)</f>
        <v/>
      </c>
      <c r="I193" t="str">
        <f>IF(A193="","",H193-F193-G193)</f>
        <v/>
      </c>
      <c r="J193" s="15" t="str">
        <f>IFERROR(I193/D193,"")</f>
        <v/>
      </c>
    </row>
    <row r="194" spans="4:10" x14ac:dyDescent="0.2">
      <c r="D194" t="str">
        <f>IF(A194="","",B194-C194)</f>
        <v/>
      </c>
      <c r="H194" t="str">
        <f>IF(A194="","",D194-E194)</f>
        <v/>
      </c>
      <c r="I194" t="str">
        <f>IF(A194="","",H194-F194-G194)</f>
        <v/>
      </c>
      <c r="J194" s="15" t="str">
        <f>IFERROR(I194/D194,"")</f>
        <v/>
      </c>
    </row>
    <row r="195" spans="4:10" x14ac:dyDescent="0.2">
      <c r="D195" t="str">
        <f>IF(A195="","",B195-C195)</f>
        <v/>
      </c>
      <c r="H195" t="str">
        <f>IF(A195="","",D195-E195)</f>
        <v/>
      </c>
      <c r="I195" t="str">
        <f>IF(A195="","",H195-F195-G195)</f>
        <v/>
      </c>
      <c r="J195" s="15" t="str">
        <f>IFERROR(I195/D195,"")</f>
        <v/>
      </c>
    </row>
    <row r="196" spans="4:10" x14ac:dyDescent="0.2">
      <c r="D196" t="str">
        <f>IF(A196="","",B196-C196)</f>
        <v/>
      </c>
      <c r="H196" t="str">
        <f>IF(A196="","",D196-E196)</f>
        <v/>
      </c>
      <c r="I196" t="str">
        <f>IF(A196="","",H196-F196-G196)</f>
        <v/>
      </c>
      <c r="J196" s="15" t="str">
        <f>IFERROR(I196/D196,"")</f>
        <v/>
      </c>
    </row>
    <row r="197" spans="4:10" x14ac:dyDescent="0.2">
      <c r="D197" t="str">
        <f>IF(A197="","",B197-C197)</f>
        <v/>
      </c>
      <c r="H197" t="str">
        <f>IF(A197="","",D197-E197)</f>
        <v/>
      </c>
      <c r="I197" t="str">
        <f>IF(A197="","",H197-F197-G197)</f>
        <v/>
      </c>
      <c r="J197" s="15" t="str">
        <f>IFERROR(I197/D197,"")</f>
        <v/>
      </c>
    </row>
    <row r="198" spans="4:10" x14ac:dyDescent="0.2">
      <c r="D198" t="str">
        <f>IF(A198="","",B198-C198)</f>
        <v/>
      </c>
      <c r="H198" t="str">
        <f>IF(A198="","",D198-E198)</f>
        <v/>
      </c>
      <c r="I198" t="str">
        <f>IF(A198="","",H198-F198-G198)</f>
        <v/>
      </c>
      <c r="J198" s="15" t="str">
        <f>IFERROR(I198/D198,"")</f>
        <v/>
      </c>
    </row>
    <row r="199" spans="4:10" x14ac:dyDescent="0.2">
      <c r="D199" t="str">
        <f>IF(A199="","",B199-C199)</f>
        <v/>
      </c>
      <c r="H199" t="str">
        <f>IF(A199="","",D199-E199)</f>
        <v/>
      </c>
      <c r="I199" t="str">
        <f>IF(A199="","",H199-F199-G199)</f>
        <v/>
      </c>
      <c r="J199" s="15" t="str">
        <f>IFERROR(I199/D199,"")</f>
        <v/>
      </c>
    </row>
    <row r="200" spans="4:10" x14ac:dyDescent="0.2">
      <c r="D200" t="str">
        <f>IF(A200="","",B200-C200)</f>
        <v/>
      </c>
      <c r="H200" t="str">
        <f>IF(A200="","",D200-E200)</f>
        <v/>
      </c>
      <c r="I200" t="str">
        <f>IF(A200="","",H200-F200-G200)</f>
        <v/>
      </c>
      <c r="J200" s="15" t="str">
        <f>IFERROR(I200/D200,"")</f>
        <v/>
      </c>
    </row>
    <row r="201" spans="4:10" x14ac:dyDescent="0.2">
      <c r="D201" t="str">
        <f>IF(A201="","",B201-C201)</f>
        <v/>
      </c>
      <c r="H201" t="str">
        <f>IF(A201="","",D201-E201)</f>
        <v/>
      </c>
      <c r="I201" t="str">
        <f>IF(A201="","",H201-F201-G201)</f>
        <v/>
      </c>
      <c r="J201" s="15" t="str">
        <f>IFERROR(I201/D201,"")</f>
        <v/>
      </c>
    </row>
    <row r="202" spans="4:10" x14ac:dyDescent="0.2">
      <c r="D202" t="str">
        <f>IF(A202="","",B202-C202)</f>
        <v/>
      </c>
      <c r="H202" t="str">
        <f>IF(A202="","",D202-E202)</f>
        <v/>
      </c>
      <c r="I202" t="str">
        <f>IF(A202="","",H202-F202-G202)</f>
        <v/>
      </c>
      <c r="J202" s="15" t="str">
        <f>IFERROR(I202/D202,"")</f>
        <v/>
      </c>
    </row>
    <row r="203" spans="4:10" x14ac:dyDescent="0.2">
      <c r="D203" t="str">
        <f>IF(A203="","",B203-C203)</f>
        <v/>
      </c>
      <c r="H203" t="str">
        <f>IF(A203="","",D203-E203)</f>
        <v/>
      </c>
      <c r="I203" t="str">
        <f>IF(A203="","",H203-F203-G203)</f>
        <v/>
      </c>
      <c r="J203" s="15" t="str">
        <f>IFERROR(I203/D203,"")</f>
        <v/>
      </c>
    </row>
    <row r="204" spans="4:10" x14ac:dyDescent="0.2">
      <c r="D204" t="str">
        <f>IF(A204="","",B204-C204)</f>
        <v/>
      </c>
      <c r="H204" t="str">
        <f>IF(A204="","",D204-E204)</f>
        <v/>
      </c>
      <c r="I204" t="str">
        <f>IF(A204="","",H204-F204-G204)</f>
        <v/>
      </c>
      <c r="J204" s="15" t="str">
        <f>IFERROR(I204/D204,"")</f>
        <v/>
      </c>
    </row>
    <row r="205" spans="4:10" x14ac:dyDescent="0.2">
      <c r="D205" t="str">
        <f>IF(A205="","",B205-C205)</f>
        <v/>
      </c>
      <c r="H205" t="str">
        <f>IF(A205="","",D205-E205)</f>
        <v/>
      </c>
      <c r="I205" t="str">
        <f>IF(A205="","",H205-F205-G205)</f>
        <v/>
      </c>
      <c r="J205" s="15" t="str">
        <f>IFERROR(I205/D205,"")</f>
        <v/>
      </c>
    </row>
    <row r="206" spans="4:10" x14ac:dyDescent="0.2">
      <c r="D206" t="str">
        <f>IF(A206="","",B206-C206)</f>
        <v/>
      </c>
      <c r="H206" t="str">
        <f>IF(A206="","",D206-E206)</f>
        <v/>
      </c>
      <c r="I206" t="str">
        <f>IF(A206="","",H206-F206-G206)</f>
        <v/>
      </c>
      <c r="J206" s="15" t="str">
        <f>IFERROR(I206/D206,"")</f>
        <v/>
      </c>
    </row>
    <row r="207" spans="4:10" x14ac:dyDescent="0.2">
      <c r="D207" t="str">
        <f>IF(A207="","",B207-C207)</f>
        <v/>
      </c>
      <c r="H207" t="str">
        <f>IF(A207="","",D207-E207)</f>
        <v/>
      </c>
      <c r="I207" t="str">
        <f>IF(A207="","",H207-F207-G207)</f>
        <v/>
      </c>
      <c r="J207" s="15" t="str">
        <f>IFERROR(I207/D207,"")</f>
        <v/>
      </c>
    </row>
    <row r="208" spans="4:10" x14ac:dyDescent="0.2">
      <c r="D208" t="str">
        <f>IF(A208="","",B208-C208)</f>
        <v/>
      </c>
      <c r="H208" t="str">
        <f>IF(A208="","",D208-E208)</f>
        <v/>
      </c>
      <c r="I208" t="str">
        <f>IF(A208="","",H208-F208-G208)</f>
        <v/>
      </c>
      <c r="J208" s="15" t="str">
        <f>IFERROR(I208/D208,"")</f>
        <v/>
      </c>
    </row>
    <row r="209" spans="4:10" x14ac:dyDescent="0.2">
      <c r="D209" t="str">
        <f>IF(A209="","",B209-C209)</f>
        <v/>
      </c>
      <c r="H209" t="str">
        <f>IF(A209="","",D209-E209)</f>
        <v/>
      </c>
      <c r="I209" t="str">
        <f>IF(A209="","",H209-F209-G209)</f>
        <v/>
      </c>
      <c r="J209" s="15" t="str">
        <f>IFERROR(I209/D209,"")</f>
        <v/>
      </c>
    </row>
    <row r="210" spans="4:10" x14ac:dyDescent="0.2">
      <c r="D210" t="str">
        <f>IF(A210="","",B210-C210)</f>
        <v/>
      </c>
      <c r="H210" t="str">
        <f>IF(A210="","",D210-E210)</f>
        <v/>
      </c>
      <c r="I210" t="str">
        <f>IF(A210="","",H210-F210-G210)</f>
        <v/>
      </c>
      <c r="J210" s="15" t="str">
        <f>IFERROR(I210/D210,"")</f>
        <v/>
      </c>
    </row>
    <row r="211" spans="4:10" x14ac:dyDescent="0.2">
      <c r="D211" t="str">
        <f>IF(A211="","",B211-C211)</f>
        <v/>
      </c>
      <c r="H211" t="str">
        <f>IF(A211="","",D211-E211)</f>
        <v/>
      </c>
      <c r="I211" t="str">
        <f>IF(A211="","",H211-F211-G211)</f>
        <v/>
      </c>
      <c r="J211" s="15" t="str">
        <f>IFERROR(I211/D211,"")</f>
        <v/>
      </c>
    </row>
    <row r="212" spans="4:10" x14ac:dyDescent="0.2">
      <c r="D212" t="str">
        <f>IF(A212="","",B212-C212)</f>
        <v/>
      </c>
      <c r="H212" t="str">
        <f>IF(A212="","",D212-E212)</f>
        <v/>
      </c>
      <c r="I212" t="str">
        <f>IF(A212="","",H212-F212-G212)</f>
        <v/>
      </c>
      <c r="J212" s="15" t="str">
        <f>IFERROR(I212/D212,"")</f>
        <v/>
      </c>
    </row>
    <row r="213" spans="4:10" x14ac:dyDescent="0.2">
      <c r="D213" t="str">
        <f>IF(A213="","",B213-C213)</f>
        <v/>
      </c>
      <c r="H213" t="str">
        <f>IF(A213="","",D213-E213)</f>
        <v/>
      </c>
      <c r="I213" t="str">
        <f>IF(A213="","",H213-F213-G213)</f>
        <v/>
      </c>
      <c r="J213" s="15" t="str">
        <f>IFERROR(I213/D213,"")</f>
        <v/>
      </c>
    </row>
    <row r="214" spans="4:10" x14ac:dyDescent="0.2">
      <c r="D214" t="str">
        <f>IF(A214="","",B214-C214)</f>
        <v/>
      </c>
      <c r="H214" t="str">
        <f>IF(A214="","",D214-E214)</f>
        <v/>
      </c>
      <c r="I214" t="str">
        <f>IF(A214="","",H214-F214-G214)</f>
        <v/>
      </c>
      <c r="J214" s="15" t="str">
        <f>IFERROR(I214/D214,"")</f>
        <v/>
      </c>
    </row>
    <row r="215" spans="4:10" x14ac:dyDescent="0.2">
      <c r="D215" t="str">
        <f>IF(A215="","",B215-C215)</f>
        <v/>
      </c>
      <c r="H215" t="str">
        <f>IF(A215="","",D215-E215)</f>
        <v/>
      </c>
      <c r="I215" t="str">
        <f>IF(A215="","",H215-F215-G215)</f>
        <v/>
      </c>
      <c r="J215" s="15" t="str">
        <f>IFERROR(I215/D215,"")</f>
        <v/>
      </c>
    </row>
    <row r="216" spans="4:10" x14ac:dyDescent="0.2">
      <c r="D216" t="str">
        <f>IF(A216="","",B216-C216)</f>
        <v/>
      </c>
      <c r="H216" t="str">
        <f>IF(A216="","",D216-E216)</f>
        <v/>
      </c>
      <c r="I216" t="str">
        <f>IF(A216="","",H216-F216-G216)</f>
        <v/>
      </c>
      <c r="J216" s="15" t="str">
        <f>IFERROR(I216/D216,"")</f>
        <v/>
      </c>
    </row>
    <row r="217" spans="4:10" x14ac:dyDescent="0.2">
      <c r="D217" t="str">
        <f>IF(A217="","",B217-C217)</f>
        <v/>
      </c>
      <c r="H217" t="str">
        <f>IF(A217="","",D217-E217)</f>
        <v/>
      </c>
      <c r="I217" t="str">
        <f>IF(A217="","",H217-F217-G217)</f>
        <v/>
      </c>
      <c r="J217" s="15" t="str">
        <f>IFERROR(I217/D217,"")</f>
        <v/>
      </c>
    </row>
    <row r="218" spans="4:10" x14ac:dyDescent="0.2">
      <c r="D218" t="str">
        <f>IF(A218="","",B218-C218)</f>
        <v/>
      </c>
      <c r="H218" t="str">
        <f>IF(A218="","",D218-E218)</f>
        <v/>
      </c>
      <c r="I218" t="str">
        <f>IF(A218="","",H218-F218-G218)</f>
        <v/>
      </c>
      <c r="J218" s="15" t="str">
        <f>IFERROR(I218/D218,"")</f>
        <v/>
      </c>
    </row>
    <row r="219" spans="4:10" x14ac:dyDescent="0.2">
      <c r="D219" t="str">
        <f>IF(A219="","",B219-C219)</f>
        <v/>
      </c>
      <c r="H219" t="str">
        <f>IF(A219="","",D219-E219)</f>
        <v/>
      </c>
      <c r="I219" t="str">
        <f>IF(A219="","",H219-F219-G219)</f>
        <v/>
      </c>
      <c r="J219" s="15" t="str">
        <f>IFERROR(I219/D219,"")</f>
        <v/>
      </c>
    </row>
    <row r="220" spans="4:10" x14ac:dyDescent="0.2">
      <c r="D220" t="str">
        <f>IF(A220="","",B220-C220)</f>
        <v/>
      </c>
      <c r="H220" t="str">
        <f>IF(A220="","",D220-E220)</f>
        <v/>
      </c>
      <c r="I220" t="str">
        <f>IF(A220="","",H220-F220-G220)</f>
        <v/>
      </c>
      <c r="J220" s="15" t="str">
        <f>IFERROR(I220/D220,"")</f>
        <v/>
      </c>
    </row>
    <row r="221" spans="4:10" x14ac:dyDescent="0.2">
      <c r="D221" t="str">
        <f>IF(A221="","",B221-C221)</f>
        <v/>
      </c>
      <c r="H221" t="str">
        <f>IF(A221="","",D221-E221)</f>
        <v/>
      </c>
      <c r="I221" t="str">
        <f>IF(A221="","",H221-F221-G221)</f>
        <v/>
      </c>
      <c r="J221" s="15" t="str">
        <f>IFERROR(I221/D221,"")</f>
        <v/>
      </c>
    </row>
    <row r="222" spans="4:10" x14ac:dyDescent="0.2">
      <c r="D222" t="str">
        <f>IF(A222="","",B222-C222)</f>
        <v/>
      </c>
      <c r="H222" t="str">
        <f>IF(A222="","",D222-E222)</f>
        <v/>
      </c>
      <c r="I222" t="str">
        <f>IF(A222="","",H222-F222-G222)</f>
        <v/>
      </c>
      <c r="J222" s="15" t="str">
        <f>IFERROR(I222/D222,"")</f>
        <v/>
      </c>
    </row>
    <row r="223" spans="4:10" x14ac:dyDescent="0.2">
      <c r="D223" t="str">
        <f>IF(A223="","",B223-C223)</f>
        <v/>
      </c>
      <c r="H223" t="str">
        <f>IF(A223="","",D223-E223)</f>
        <v/>
      </c>
      <c r="I223" t="str">
        <f>IF(A223="","",H223-F223-G223)</f>
        <v/>
      </c>
      <c r="J223" s="15" t="str">
        <f>IFERROR(I223/D223,"")</f>
        <v/>
      </c>
    </row>
    <row r="224" spans="4:10" x14ac:dyDescent="0.2">
      <c r="D224" t="str">
        <f>IF(A224="","",B224-C224)</f>
        <v/>
      </c>
      <c r="H224" t="str">
        <f>IF(A224="","",D224-E224)</f>
        <v/>
      </c>
      <c r="I224" t="str">
        <f>IF(A224="","",H224-F224-G224)</f>
        <v/>
      </c>
      <c r="J224" s="15" t="str">
        <f>IFERROR(I224/D224,"")</f>
        <v/>
      </c>
    </row>
    <row r="225" spans="4:10" x14ac:dyDescent="0.2">
      <c r="D225" t="str">
        <f>IF(A225="","",B225-C225)</f>
        <v/>
      </c>
      <c r="H225" t="str">
        <f>IF(A225="","",D225-E225)</f>
        <v/>
      </c>
      <c r="I225" t="str">
        <f>IF(A225="","",H225-F225-G225)</f>
        <v/>
      </c>
      <c r="J225" s="15" t="str">
        <f>IFERROR(I225/D225,"")</f>
        <v/>
      </c>
    </row>
    <row r="226" spans="4:10" x14ac:dyDescent="0.2">
      <c r="D226" t="str">
        <f>IF(A226="","",B226-C226)</f>
        <v/>
      </c>
      <c r="H226" t="str">
        <f>IF(A226="","",D226-E226)</f>
        <v/>
      </c>
      <c r="I226" t="str">
        <f>IF(A226="","",H226-F226-G226)</f>
        <v/>
      </c>
      <c r="J226" s="15" t="str">
        <f>IFERROR(I226/D226,"")</f>
        <v/>
      </c>
    </row>
    <row r="227" spans="4:10" x14ac:dyDescent="0.2">
      <c r="D227" t="str">
        <f>IF(A227="","",B227-C227)</f>
        <v/>
      </c>
      <c r="H227" t="str">
        <f>IF(A227="","",D227-E227)</f>
        <v/>
      </c>
      <c r="I227" t="str">
        <f>IF(A227="","",H227-F227-G227)</f>
        <v/>
      </c>
      <c r="J227" s="15" t="str">
        <f>IFERROR(I227/D227,"")</f>
        <v/>
      </c>
    </row>
    <row r="228" spans="4:10" x14ac:dyDescent="0.2">
      <c r="D228" t="str">
        <f>IF(A228="","",B228-C228)</f>
        <v/>
      </c>
      <c r="H228" t="str">
        <f>IF(A228="","",D228-E228)</f>
        <v/>
      </c>
      <c r="I228" t="str">
        <f>IF(A228="","",H228-F228-G228)</f>
        <v/>
      </c>
      <c r="J228" s="15" t="str">
        <f>IFERROR(I228/D228,"")</f>
        <v/>
      </c>
    </row>
    <row r="229" spans="4:10" x14ac:dyDescent="0.2">
      <c r="D229" t="str">
        <f>IF(A229="","",B229-C229)</f>
        <v/>
      </c>
      <c r="H229" t="str">
        <f>IF(A229="","",D229-E229)</f>
        <v/>
      </c>
      <c r="I229" t="str">
        <f>IF(A229="","",H229-F229-G229)</f>
        <v/>
      </c>
      <c r="J229" s="15" t="str">
        <f>IFERROR(I229/D229,"")</f>
        <v/>
      </c>
    </row>
    <row r="230" spans="4:10" x14ac:dyDescent="0.2">
      <c r="D230" t="str">
        <f>IF(A230="","",B230-C230)</f>
        <v/>
      </c>
      <c r="H230" t="str">
        <f>IF(A230="","",D230-E230)</f>
        <v/>
      </c>
      <c r="I230" t="str">
        <f>IF(A230="","",H230-F230-G230)</f>
        <v/>
      </c>
      <c r="J230" s="15" t="str">
        <f>IFERROR(I230/D230,"")</f>
        <v/>
      </c>
    </row>
    <row r="231" spans="4:10" x14ac:dyDescent="0.2">
      <c r="D231" t="str">
        <f>IF(A231="","",B231-C231)</f>
        <v/>
      </c>
      <c r="H231" t="str">
        <f>IF(A231="","",D231-E231)</f>
        <v/>
      </c>
      <c r="I231" t="str">
        <f>IF(A231="","",H231-F231-G231)</f>
        <v/>
      </c>
      <c r="J231" s="15" t="str">
        <f>IFERROR(I231/D231,"")</f>
        <v/>
      </c>
    </row>
    <row r="232" spans="4:10" x14ac:dyDescent="0.2">
      <c r="D232" t="str">
        <f>IF(A232="","",B232-C232)</f>
        <v/>
      </c>
      <c r="H232" t="str">
        <f>IF(A232="","",D232-E232)</f>
        <v/>
      </c>
      <c r="I232" t="str">
        <f>IF(A232="","",H232-F232-G232)</f>
        <v/>
      </c>
      <c r="J232" s="15" t="str">
        <f>IFERROR(I232/D232,"")</f>
        <v/>
      </c>
    </row>
    <row r="233" spans="4:10" x14ac:dyDescent="0.2">
      <c r="D233" t="str">
        <f>IF(A233="","",B233-C233)</f>
        <v/>
      </c>
      <c r="H233" t="str">
        <f>IF(A233="","",D233-E233)</f>
        <v/>
      </c>
      <c r="I233" t="str">
        <f>IF(A233="","",H233-F233-G233)</f>
        <v/>
      </c>
      <c r="J233" s="15" t="str">
        <f>IFERROR(I233/D233,"")</f>
        <v/>
      </c>
    </row>
    <row r="234" spans="4:10" x14ac:dyDescent="0.2">
      <c r="D234" t="str">
        <f>IF(A234="","",B234-C234)</f>
        <v/>
      </c>
      <c r="H234" t="str">
        <f>IF(A234="","",D234-E234)</f>
        <v/>
      </c>
      <c r="I234" t="str">
        <f>IF(A234="","",H234-F234-G234)</f>
        <v/>
      </c>
      <c r="J234" s="15" t="str">
        <f>IFERROR(I234/D234,"")</f>
        <v/>
      </c>
    </row>
    <row r="235" spans="4:10" x14ac:dyDescent="0.2">
      <c r="D235" t="str">
        <f>IF(A235="","",B235-C235)</f>
        <v/>
      </c>
      <c r="H235" t="str">
        <f>IF(A235="","",D235-E235)</f>
        <v/>
      </c>
      <c r="I235" t="str">
        <f>IF(A235="","",H235-F235-G235)</f>
        <v/>
      </c>
      <c r="J235" s="15" t="str">
        <f>IFERROR(I235/D235,"")</f>
        <v/>
      </c>
    </row>
    <row r="236" spans="4:10" x14ac:dyDescent="0.2">
      <c r="D236" t="str">
        <f>IF(A236="","",B236-C236)</f>
        <v/>
      </c>
      <c r="H236" t="str">
        <f>IF(A236="","",D236-E236)</f>
        <v/>
      </c>
      <c r="I236" t="str">
        <f>IF(A236="","",H236-F236-G236)</f>
        <v/>
      </c>
      <c r="J236" s="15" t="str">
        <f>IFERROR(I236/D236,"")</f>
        <v/>
      </c>
    </row>
    <row r="237" spans="4:10" x14ac:dyDescent="0.2">
      <c r="D237" t="str">
        <f>IF(A237="","",B237-C237)</f>
        <v/>
      </c>
      <c r="H237" t="str">
        <f>IF(A237="","",D237-E237)</f>
        <v/>
      </c>
      <c r="I237" t="str">
        <f>IF(A237="","",H237-F237-G237)</f>
        <v/>
      </c>
      <c r="J237" s="15" t="str">
        <f>IFERROR(I237/D237,"")</f>
        <v/>
      </c>
    </row>
    <row r="238" spans="4:10" x14ac:dyDescent="0.2">
      <c r="D238" t="str">
        <f>IF(A238="","",B238-C238)</f>
        <v/>
      </c>
      <c r="H238" t="str">
        <f>IF(A238="","",D238-E238)</f>
        <v/>
      </c>
      <c r="I238" t="str">
        <f>IF(A238="","",H238-F238-G238)</f>
        <v/>
      </c>
      <c r="J238" s="15" t="str">
        <f>IFERROR(I238/D238,"")</f>
        <v/>
      </c>
    </row>
    <row r="239" spans="4:10" x14ac:dyDescent="0.2">
      <c r="D239" t="str">
        <f>IF(A239="","",B239-C239)</f>
        <v/>
      </c>
      <c r="H239" t="str">
        <f>IF(A239="","",D239-E239)</f>
        <v/>
      </c>
      <c r="I239" t="str">
        <f>IF(A239="","",H239-F239-G239)</f>
        <v/>
      </c>
      <c r="J239" s="15" t="str">
        <f>IFERROR(I239/D239,"")</f>
        <v/>
      </c>
    </row>
    <row r="240" spans="4:10" x14ac:dyDescent="0.2">
      <c r="D240" t="str">
        <f>IF(A240="","",B240-C240)</f>
        <v/>
      </c>
      <c r="H240" t="str">
        <f>IF(A240="","",D240-E240)</f>
        <v/>
      </c>
      <c r="I240" t="str">
        <f>IF(A240="","",H240-F240-G240)</f>
        <v/>
      </c>
      <c r="J240" s="15" t="str">
        <f>IFERROR(I240/D240,"")</f>
        <v/>
      </c>
    </row>
    <row r="241" spans="4:10" x14ac:dyDescent="0.2">
      <c r="D241" t="str">
        <f>IF(A241="","",B241-C241)</f>
        <v/>
      </c>
      <c r="H241" t="str">
        <f>IF(A241="","",D241-E241)</f>
        <v/>
      </c>
      <c r="I241" t="str">
        <f>IF(A241="","",H241-F241-G241)</f>
        <v/>
      </c>
      <c r="J241" s="15" t="str">
        <f>IFERROR(I241/D241,"")</f>
        <v/>
      </c>
    </row>
    <row r="242" spans="4:10" x14ac:dyDescent="0.2">
      <c r="D242" t="str">
        <f>IF(A242="","",B242-C242)</f>
        <v/>
      </c>
      <c r="H242" t="str">
        <f>IF(A242="","",D242-E242)</f>
        <v/>
      </c>
      <c r="I242" t="str">
        <f>IF(A242="","",H242-F242-G242)</f>
        <v/>
      </c>
      <c r="J242" s="15" t="str">
        <f>IFERROR(I242/D242,"")</f>
        <v/>
      </c>
    </row>
    <row r="243" spans="4:10" x14ac:dyDescent="0.2">
      <c r="D243" t="str">
        <f>IF(A243="","",B243-C243)</f>
        <v/>
      </c>
      <c r="H243" t="str">
        <f>IF(A243="","",D243-E243)</f>
        <v/>
      </c>
      <c r="I243" t="str">
        <f>IF(A243="","",H243-F243-G243)</f>
        <v/>
      </c>
      <c r="J243" s="15" t="str">
        <f>IFERROR(I243/D243,"")</f>
        <v/>
      </c>
    </row>
    <row r="244" spans="4:10" x14ac:dyDescent="0.2">
      <c r="D244" t="str">
        <f>IF(A244="","",B244-C244)</f>
        <v/>
      </c>
      <c r="H244" t="str">
        <f>IF(A244="","",D244-E244)</f>
        <v/>
      </c>
      <c r="I244" t="str">
        <f>IF(A244="","",H244-F244-G244)</f>
        <v/>
      </c>
      <c r="J244" s="15" t="str">
        <f>IFERROR(I244/D244,"")</f>
        <v/>
      </c>
    </row>
    <row r="245" spans="4:10" x14ac:dyDescent="0.2">
      <c r="D245" t="str">
        <f>IF(A245="","",B245-C245)</f>
        <v/>
      </c>
      <c r="H245" t="str">
        <f>IF(A245="","",D245-E245)</f>
        <v/>
      </c>
      <c r="I245" t="str">
        <f>IF(A245="","",H245-F245-G245)</f>
        <v/>
      </c>
      <c r="J245" s="15" t="str">
        <f>IFERROR(I245/D245,"")</f>
        <v/>
      </c>
    </row>
    <row r="246" spans="4:10" x14ac:dyDescent="0.2">
      <c r="D246" t="str">
        <f>IF(A246="","",B246-C246)</f>
        <v/>
      </c>
      <c r="H246" t="str">
        <f>IF(A246="","",D246-E246)</f>
        <v/>
      </c>
      <c r="I246" t="str">
        <f>IF(A246="","",H246-F246-G246)</f>
        <v/>
      </c>
      <c r="J246" s="15" t="str">
        <f>IFERROR(I246/D246,"")</f>
        <v/>
      </c>
    </row>
    <row r="247" spans="4:10" x14ac:dyDescent="0.2">
      <c r="D247" t="str">
        <f>IF(A247="","",B247-C247)</f>
        <v/>
      </c>
      <c r="H247" t="str">
        <f>IF(A247="","",D247-E247)</f>
        <v/>
      </c>
      <c r="I247" t="str">
        <f>IF(A247="","",H247-F247-G247)</f>
        <v/>
      </c>
      <c r="J247" s="15" t="str">
        <f>IFERROR(I247/D247,"")</f>
        <v/>
      </c>
    </row>
    <row r="248" spans="4:10" x14ac:dyDescent="0.2">
      <c r="D248" t="str">
        <f>IF(A248="","",B248-C248)</f>
        <v/>
      </c>
      <c r="H248" t="str">
        <f>IF(A248="","",D248-E248)</f>
        <v/>
      </c>
      <c r="I248" t="str">
        <f>IF(A248="","",H248-F248-G248)</f>
        <v/>
      </c>
      <c r="J248" s="15" t="str">
        <f>IFERROR(I248/D248,"")</f>
        <v/>
      </c>
    </row>
    <row r="249" spans="4:10" x14ac:dyDescent="0.2">
      <c r="D249" t="str">
        <f>IF(A249="","",B249-C249)</f>
        <v/>
      </c>
      <c r="H249" t="str">
        <f>IF(A249="","",D249-E249)</f>
        <v/>
      </c>
      <c r="I249" t="str">
        <f>IF(A249="","",H249-F249-G249)</f>
        <v/>
      </c>
      <c r="J249" s="15" t="str">
        <f>IFERROR(I249/D249,"")</f>
        <v/>
      </c>
    </row>
    <row r="250" spans="4:10" x14ac:dyDescent="0.2">
      <c r="D250" t="str">
        <f>IF(A250="","",B250-C250)</f>
        <v/>
      </c>
      <c r="H250" t="str">
        <f>IF(A250="","",D250-E250)</f>
        <v/>
      </c>
      <c r="I250" t="str">
        <f>IF(A250="","",H250-F250-G250)</f>
        <v/>
      </c>
      <c r="J250" s="15" t="str">
        <f>IFERROR(I250/D250,"")</f>
        <v/>
      </c>
    </row>
    <row r="251" spans="4:10" x14ac:dyDescent="0.2">
      <c r="D251" t="str">
        <f>IF(A251="","",B251-C251)</f>
        <v/>
      </c>
      <c r="H251" t="str">
        <f>IF(A251="","",D251-E251)</f>
        <v/>
      </c>
      <c r="I251" t="str">
        <f>IF(A251="","",H251-F251-G251)</f>
        <v/>
      </c>
      <c r="J251" s="15" t="str">
        <f>IFERROR(I251/D251,"")</f>
        <v/>
      </c>
    </row>
    <row r="252" spans="4:10" x14ac:dyDescent="0.2">
      <c r="D252" t="str">
        <f>IF(A252="","",B252-C252)</f>
        <v/>
      </c>
      <c r="H252" t="str">
        <f>IF(A252="","",D252-E252)</f>
        <v/>
      </c>
      <c r="I252" t="str">
        <f>IF(A252="","",H252-F252-G252)</f>
        <v/>
      </c>
      <c r="J252" s="15" t="str">
        <f>IFERROR(I252/D252,"")</f>
        <v/>
      </c>
    </row>
    <row r="253" spans="4:10" x14ac:dyDescent="0.2">
      <c r="D253" t="str">
        <f>IF(A253="","",B253-C253)</f>
        <v/>
      </c>
      <c r="H253" t="str">
        <f>IF(A253="","",D253-E253)</f>
        <v/>
      </c>
      <c r="I253" t="str">
        <f>IF(A253="","",H253-F253-G253)</f>
        <v/>
      </c>
      <c r="J253" s="15" t="str">
        <f>IFERROR(I253/D253,"")</f>
        <v/>
      </c>
    </row>
    <row r="254" spans="4:10" x14ac:dyDescent="0.2">
      <c r="D254" t="str">
        <f>IF(A254="","",B254-C254)</f>
        <v/>
      </c>
      <c r="H254" t="str">
        <f>IF(A254="","",D254-E254)</f>
        <v/>
      </c>
      <c r="I254" t="str">
        <f>IF(A254="","",H254-F254-G254)</f>
        <v/>
      </c>
      <c r="J254" s="15" t="str">
        <f>IFERROR(I254/D254,"")</f>
        <v/>
      </c>
    </row>
    <row r="255" spans="4:10" x14ac:dyDescent="0.2">
      <c r="D255" t="str">
        <f>IF(A255="","",B255-C255)</f>
        <v/>
      </c>
      <c r="H255" t="str">
        <f>IF(A255="","",D255-E255)</f>
        <v/>
      </c>
      <c r="I255" t="str">
        <f>IF(A255="","",H255-F255-G255)</f>
        <v/>
      </c>
      <c r="J255" s="15" t="str">
        <f>IFERROR(I255/D255,"")</f>
        <v/>
      </c>
    </row>
    <row r="256" spans="4:10" x14ac:dyDescent="0.2">
      <c r="D256" t="str">
        <f>IF(A256="","",B256-C256)</f>
        <v/>
      </c>
      <c r="H256" t="str">
        <f>IF(A256="","",D256-E256)</f>
        <v/>
      </c>
      <c r="I256" t="str">
        <f>IF(A256="","",H256-F256-G256)</f>
        <v/>
      </c>
      <c r="J256" s="15" t="str">
        <f>IFERROR(I256/D256,"")</f>
        <v/>
      </c>
    </row>
    <row r="257" spans="4:10" x14ac:dyDescent="0.2">
      <c r="D257" t="str">
        <f>IF(A257="","",B257-C257)</f>
        <v/>
      </c>
      <c r="H257" t="str">
        <f>IF(A257="","",D257-E257)</f>
        <v/>
      </c>
      <c r="I257" t="str">
        <f>IF(A257="","",H257-F257-G257)</f>
        <v/>
      </c>
      <c r="J257" s="15" t="str">
        <f>IFERROR(I257/D257,"")</f>
        <v/>
      </c>
    </row>
    <row r="258" spans="4:10" x14ac:dyDescent="0.2">
      <c r="D258" t="str">
        <f>IF(A258="","",B258-C258)</f>
        <v/>
      </c>
      <c r="H258" t="str">
        <f>IF(A258="","",D258-E258)</f>
        <v/>
      </c>
      <c r="I258" t="str">
        <f>IF(A258="","",H258-F258-G258)</f>
        <v/>
      </c>
      <c r="J258" s="15" t="str">
        <f>IFERROR(I258/D258,"")</f>
        <v/>
      </c>
    </row>
    <row r="259" spans="4:10" x14ac:dyDescent="0.2">
      <c r="D259" t="str">
        <f>IF(A259="","",B259-C259)</f>
        <v/>
      </c>
      <c r="H259" t="str">
        <f>IF(A259="","",D259-E259)</f>
        <v/>
      </c>
      <c r="I259" t="str">
        <f>IF(A259="","",H259-F259-G259)</f>
        <v/>
      </c>
      <c r="J259" s="15" t="str">
        <f>IFERROR(I259/D259,"")</f>
        <v/>
      </c>
    </row>
    <row r="260" spans="4:10" x14ac:dyDescent="0.2">
      <c r="D260" t="str">
        <f>IF(A260="","",B260-C260)</f>
        <v/>
      </c>
      <c r="H260" t="str">
        <f>IF(A260="","",D260-E260)</f>
        <v/>
      </c>
      <c r="I260" t="str">
        <f>IF(A260="","",H260-F260-G260)</f>
        <v/>
      </c>
      <c r="J260" s="15" t="str">
        <f>IFERROR(I260/D260,"")</f>
        <v/>
      </c>
    </row>
    <row r="261" spans="4:10" x14ac:dyDescent="0.2">
      <c r="D261" t="str">
        <f>IF(A261="","",B261-C261)</f>
        <v/>
      </c>
      <c r="H261" t="str">
        <f>IF(A261="","",D261-E261)</f>
        <v/>
      </c>
      <c r="I261" t="str">
        <f>IF(A261="","",H261-F261-G261)</f>
        <v/>
      </c>
      <c r="J261" s="15" t="str">
        <f>IFERROR(I261/D261,"")</f>
        <v/>
      </c>
    </row>
    <row r="262" spans="4:10" x14ac:dyDescent="0.2">
      <c r="D262" t="str">
        <f>IF(A262="","",B262-C262)</f>
        <v/>
      </c>
      <c r="H262" t="str">
        <f>IF(A262="","",D262-E262)</f>
        <v/>
      </c>
      <c r="I262" t="str">
        <f>IF(A262="","",H262-F262-G262)</f>
        <v/>
      </c>
      <c r="J262" s="15" t="str">
        <f>IFERROR(I262/D262,"")</f>
        <v/>
      </c>
    </row>
    <row r="263" spans="4:10" x14ac:dyDescent="0.2">
      <c r="D263" t="str">
        <f>IF(A263="","",B263-C263)</f>
        <v/>
      </c>
      <c r="H263" t="str">
        <f>IF(A263="","",D263-E263)</f>
        <v/>
      </c>
      <c r="I263" t="str">
        <f>IF(A263="","",H263-F263-G263)</f>
        <v/>
      </c>
      <c r="J263" s="15" t="str">
        <f>IFERROR(I263/D263,"")</f>
        <v/>
      </c>
    </row>
    <row r="264" spans="4:10" x14ac:dyDescent="0.2">
      <c r="D264" t="str">
        <f>IF(A264="","",B264-C264)</f>
        <v/>
      </c>
      <c r="H264" t="str">
        <f>IF(A264="","",D264-E264)</f>
        <v/>
      </c>
      <c r="I264" t="str">
        <f>IF(A264="","",H264-F264-G264)</f>
        <v/>
      </c>
      <c r="J264" s="15" t="str">
        <f>IFERROR(I264/D264,"")</f>
        <v/>
      </c>
    </row>
    <row r="265" spans="4:10" x14ac:dyDescent="0.2">
      <c r="D265" t="str">
        <f>IF(A265="","",B265-C265)</f>
        <v/>
      </c>
      <c r="H265" t="str">
        <f>IF(A265="","",D265-E265)</f>
        <v/>
      </c>
      <c r="I265" t="str">
        <f>IF(A265="","",H265-F265-G265)</f>
        <v/>
      </c>
      <c r="J265" s="15" t="str">
        <f>IFERROR(I265/D265,"")</f>
        <v/>
      </c>
    </row>
    <row r="266" spans="4:10" x14ac:dyDescent="0.2">
      <c r="D266" t="str">
        <f>IF(A266="","",B266-C266)</f>
        <v/>
      </c>
      <c r="H266" t="str">
        <f>IF(A266="","",D266-E266)</f>
        <v/>
      </c>
      <c r="I266" t="str">
        <f>IF(A266="","",H266-F266-G266)</f>
        <v/>
      </c>
      <c r="J266" s="15" t="str">
        <f>IFERROR(I266/D266,"")</f>
        <v/>
      </c>
    </row>
    <row r="267" spans="4:10" x14ac:dyDescent="0.2">
      <c r="D267" t="str">
        <f>IF(A267="","",B267-C267)</f>
        <v/>
      </c>
      <c r="H267" t="str">
        <f>IF(A267="","",D267-E267)</f>
        <v/>
      </c>
      <c r="I267" t="str">
        <f>IF(A267="","",H267-F267-G267)</f>
        <v/>
      </c>
      <c r="J267" s="15" t="str">
        <f>IFERROR(I267/D267,"")</f>
        <v/>
      </c>
    </row>
    <row r="268" spans="4:10" x14ac:dyDescent="0.2">
      <c r="D268" t="str">
        <f>IF(A268="","",B268-C268)</f>
        <v/>
      </c>
      <c r="H268" t="str">
        <f>IF(A268="","",D268-E268)</f>
        <v/>
      </c>
      <c r="I268" t="str">
        <f>IF(A268="","",H268-F268-G268)</f>
        <v/>
      </c>
      <c r="J268" s="15" t="str">
        <f>IFERROR(I268/D268,"")</f>
        <v/>
      </c>
    </row>
    <row r="269" spans="4:10" x14ac:dyDescent="0.2">
      <c r="D269" t="str">
        <f>IF(A269="","",B269-C269)</f>
        <v/>
      </c>
      <c r="H269" t="str">
        <f>IF(A269="","",D269-E269)</f>
        <v/>
      </c>
      <c r="I269" t="str">
        <f>IF(A269="","",H269-F269-G269)</f>
        <v/>
      </c>
      <c r="J269" s="15" t="str">
        <f>IFERROR(I269/D269,"")</f>
        <v/>
      </c>
    </row>
    <row r="270" spans="4:10" x14ac:dyDescent="0.2">
      <c r="D270" t="str">
        <f>IF(A270="","",B270-C270)</f>
        <v/>
      </c>
      <c r="H270" t="str">
        <f>IF(A270="","",D270-E270)</f>
        <v/>
      </c>
      <c r="I270" t="str">
        <f>IF(A270="","",H270-F270-G270)</f>
        <v/>
      </c>
      <c r="J270" s="15" t="str">
        <f>IFERROR(I270/D270,"")</f>
        <v/>
      </c>
    </row>
    <row r="271" spans="4:10" x14ac:dyDescent="0.2">
      <c r="D271" t="str">
        <f>IF(A271="","",B271-C271)</f>
        <v/>
      </c>
      <c r="H271" t="str">
        <f>IF(A271="","",D271-E271)</f>
        <v/>
      </c>
      <c r="I271" t="str">
        <f>IF(A271="","",H271-F271-G271)</f>
        <v/>
      </c>
      <c r="J271" s="15" t="str">
        <f>IFERROR(I271/D271,"")</f>
        <v/>
      </c>
    </row>
    <row r="272" spans="4:10" x14ac:dyDescent="0.2">
      <c r="D272" t="str">
        <f>IF(A272="","",B272-C272)</f>
        <v/>
      </c>
      <c r="H272" t="str">
        <f>IF(A272="","",D272-E272)</f>
        <v/>
      </c>
      <c r="I272" t="str">
        <f>IF(A272="","",H272-F272-G272)</f>
        <v/>
      </c>
      <c r="J272" s="15" t="str">
        <f>IFERROR(I272/D272,"")</f>
        <v/>
      </c>
    </row>
    <row r="273" spans="4:10" x14ac:dyDescent="0.2">
      <c r="D273" t="str">
        <f>IF(A273="","",B273-C273)</f>
        <v/>
      </c>
      <c r="H273" t="str">
        <f>IF(A273="","",D273-E273)</f>
        <v/>
      </c>
      <c r="I273" t="str">
        <f>IF(A273="","",H273-F273-G273)</f>
        <v/>
      </c>
      <c r="J273" s="15" t="str">
        <f>IFERROR(I273/D273,"")</f>
        <v/>
      </c>
    </row>
    <row r="274" spans="4:10" x14ac:dyDescent="0.2">
      <c r="D274" t="str">
        <f>IF(A274="","",B274-C274)</f>
        <v/>
      </c>
      <c r="H274" t="str">
        <f>IF(A274="","",D274-E274)</f>
        <v/>
      </c>
      <c r="I274" t="str">
        <f>IF(A274="","",H274-F274-G274)</f>
        <v/>
      </c>
      <c r="J274" s="15" t="str">
        <f>IFERROR(I274/D274,"")</f>
        <v/>
      </c>
    </row>
    <row r="275" spans="4:10" x14ac:dyDescent="0.2">
      <c r="D275" t="str">
        <f>IF(A275="","",B275-C275)</f>
        <v/>
      </c>
      <c r="H275" t="str">
        <f>IF(A275="","",D275-E275)</f>
        <v/>
      </c>
      <c r="I275" t="str">
        <f>IF(A275="","",H275-F275-G275)</f>
        <v/>
      </c>
      <c r="J275" s="15" t="str">
        <f>IFERROR(I275/D275,"")</f>
        <v/>
      </c>
    </row>
    <row r="276" spans="4:10" x14ac:dyDescent="0.2">
      <c r="D276" t="str">
        <f>IF(A276="","",B276-C276)</f>
        <v/>
      </c>
      <c r="H276" t="str">
        <f>IF(A276="","",D276-E276)</f>
        <v/>
      </c>
      <c r="I276" t="str">
        <f>IF(A276="","",H276-F276-G276)</f>
        <v/>
      </c>
      <c r="J276" s="15" t="str">
        <f>IFERROR(I276/D276,"")</f>
        <v/>
      </c>
    </row>
    <row r="277" spans="4:10" x14ac:dyDescent="0.2">
      <c r="D277" t="str">
        <f>IF(A277="","",B277-C277)</f>
        <v/>
      </c>
      <c r="H277" t="str">
        <f>IF(A277="","",D277-E277)</f>
        <v/>
      </c>
      <c r="I277" t="str">
        <f>IF(A277="","",H277-F277-G277)</f>
        <v/>
      </c>
      <c r="J277" s="15" t="str">
        <f>IFERROR(I277/D277,"")</f>
        <v/>
      </c>
    </row>
    <row r="278" spans="4:10" x14ac:dyDescent="0.2">
      <c r="D278" t="str">
        <f>IF(A278="","",B278-C278)</f>
        <v/>
      </c>
      <c r="H278" t="str">
        <f>IF(A278="","",D278-E278)</f>
        <v/>
      </c>
      <c r="I278" t="str">
        <f>IF(A278="","",H278-F278-G278)</f>
        <v/>
      </c>
      <c r="J278" s="15" t="str">
        <f>IFERROR(I278/D278,"")</f>
        <v/>
      </c>
    </row>
    <row r="279" spans="4:10" x14ac:dyDescent="0.2">
      <c r="D279" t="str">
        <f>IF(A279="","",B279-C279)</f>
        <v/>
      </c>
      <c r="H279" t="str">
        <f>IF(A279="","",D279-E279)</f>
        <v/>
      </c>
      <c r="I279" t="str">
        <f>IF(A279="","",H279-F279-G279)</f>
        <v/>
      </c>
      <c r="J279" s="15" t="str">
        <f>IFERROR(I279/D279,"")</f>
        <v/>
      </c>
    </row>
    <row r="280" spans="4:10" x14ac:dyDescent="0.2">
      <c r="D280" t="str">
        <f>IF(A280="","",B280-C280)</f>
        <v/>
      </c>
      <c r="H280" t="str">
        <f>IF(A280="","",D280-E280)</f>
        <v/>
      </c>
      <c r="I280" t="str">
        <f>IF(A280="","",H280-F280-G280)</f>
        <v/>
      </c>
      <c r="J280" s="15" t="str">
        <f>IFERROR(I280/D280,"")</f>
        <v/>
      </c>
    </row>
    <row r="281" spans="4:10" x14ac:dyDescent="0.2">
      <c r="D281" t="str">
        <f>IF(A281="","",B281-C281)</f>
        <v/>
      </c>
      <c r="H281" t="str">
        <f>IF(A281="","",D281-E281)</f>
        <v/>
      </c>
      <c r="I281" t="str">
        <f>IF(A281="","",H281-F281-G281)</f>
        <v/>
      </c>
      <c r="J281" s="15" t="str">
        <f>IFERROR(I281/D281,"")</f>
        <v/>
      </c>
    </row>
    <row r="282" spans="4:10" x14ac:dyDescent="0.2">
      <c r="D282" t="str">
        <f>IF(A282="","",B282-C282)</f>
        <v/>
      </c>
      <c r="H282" t="str">
        <f>IF(A282="","",D282-E282)</f>
        <v/>
      </c>
      <c r="I282" t="str">
        <f>IF(A282="","",H282-F282-G282)</f>
        <v/>
      </c>
      <c r="J282" s="15" t="str">
        <f>IFERROR(I282/D282,"")</f>
        <v/>
      </c>
    </row>
    <row r="283" spans="4:10" x14ac:dyDescent="0.2">
      <c r="D283" t="str">
        <f>IF(A283="","",B283-C283)</f>
        <v/>
      </c>
      <c r="H283" t="str">
        <f>IF(A283="","",D283-E283)</f>
        <v/>
      </c>
      <c r="I283" t="str">
        <f>IF(A283="","",H283-F283-G283)</f>
        <v/>
      </c>
      <c r="J283" s="15" t="str">
        <f>IFERROR(I283/D283,"")</f>
        <v/>
      </c>
    </row>
    <row r="284" spans="4:10" x14ac:dyDescent="0.2">
      <c r="D284" t="str">
        <f>IF(A284="","",B284-C284)</f>
        <v/>
      </c>
      <c r="H284" t="str">
        <f>IF(A284="","",D284-E284)</f>
        <v/>
      </c>
      <c r="I284" t="str">
        <f>IF(A284="","",H284-F284-G284)</f>
        <v/>
      </c>
      <c r="J284" s="15" t="str">
        <f>IFERROR(I284/D284,"")</f>
        <v/>
      </c>
    </row>
    <row r="285" spans="4:10" x14ac:dyDescent="0.2">
      <c r="D285" t="str">
        <f>IF(A285="","",B285-C285)</f>
        <v/>
      </c>
      <c r="H285" t="str">
        <f>IF(A285="","",D285-E285)</f>
        <v/>
      </c>
      <c r="I285" t="str">
        <f>IF(A285="","",H285-F285-G285)</f>
        <v/>
      </c>
      <c r="J285" s="15" t="str">
        <f>IFERROR(I285/D285,"")</f>
        <v/>
      </c>
    </row>
    <row r="286" spans="4:10" x14ac:dyDescent="0.2">
      <c r="D286" t="str">
        <f>IF(A286="","",B286-C286)</f>
        <v/>
      </c>
      <c r="H286" t="str">
        <f>IF(A286="","",D286-E286)</f>
        <v/>
      </c>
      <c r="I286" t="str">
        <f>IF(A286="","",H286-F286-G286)</f>
        <v/>
      </c>
      <c r="J286" s="15" t="str">
        <f>IFERROR(I286/D286,"")</f>
        <v/>
      </c>
    </row>
    <row r="287" spans="4:10" x14ac:dyDescent="0.2">
      <c r="D287" t="str">
        <f>IF(A287="","",B287-C287)</f>
        <v/>
      </c>
      <c r="H287" t="str">
        <f>IF(A287="","",D287-E287)</f>
        <v/>
      </c>
      <c r="I287" t="str">
        <f>IF(A287="","",H287-F287-G287)</f>
        <v/>
      </c>
      <c r="J287" s="15" t="str">
        <f>IFERROR(I287/D287,"")</f>
        <v/>
      </c>
    </row>
    <row r="288" spans="4:10" x14ac:dyDescent="0.2">
      <c r="D288" t="str">
        <f>IF(A288="","",B288-C288)</f>
        <v/>
      </c>
      <c r="H288" t="str">
        <f>IF(A288="","",D288-E288)</f>
        <v/>
      </c>
      <c r="I288" t="str">
        <f>IF(A288="","",H288-F288-G288)</f>
        <v/>
      </c>
      <c r="J288" s="15" t="str">
        <f>IFERROR(I288/D288,"")</f>
        <v/>
      </c>
    </row>
    <row r="289" spans="4:10" x14ac:dyDescent="0.2">
      <c r="D289" t="str">
        <f>IF(A289="","",B289-C289)</f>
        <v/>
      </c>
      <c r="H289" t="str">
        <f>IF(A289="","",D289-E289)</f>
        <v/>
      </c>
      <c r="I289" t="str">
        <f>IF(A289="","",H289-F289-G289)</f>
        <v/>
      </c>
      <c r="J289" s="15" t="str">
        <f>IFERROR(I289/D289,"")</f>
        <v/>
      </c>
    </row>
    <row r="290" spans="4:10" x14ac:dyDescent="0.2">
      <c r="D290" t="str">
        <f>IF(A290="","",B290-C290)</f>
        <v/>
      </c>
      <c r="H290" t="str">
        <f>IF(A290="","",D290-E290)</f>
        <v/>
      </c>
      <c r="I290" t="str">
        <f>IF(A290="","",H290-F290-G290)</f>
        <v/>
      </c>
      <c r="J290" s="15" t="str">
        <f>IFERROR(I290/D290,"")</f>
        <v/>
      </c>
    </row>
    <row r="291" spans="4:10" x14ac:dyDescent="0.2">
      <c r="D291" t="str">
        <f>IF(A291="","",B291-C291)</f>
        <v/>
      </c>
      <c r="H291" t="str">
        <f>IF(A291="","",D291-E291)</f>
        <v/>
      </c>
      <c r="I291" t="str">
        <f>IF(A291="","",H291-F291-G291)</f>
        <v/>
      </c>
      <c r="J291" s="15" t="str">
        <f>IFERROR(I291/D291,"")</f>
        <v/>
      </c>
    </row>
    <row r="292" spans="4:10" x14ac:dyDescent="0.2">
      <c r="D292" t="str">
        <f>IF(A292="","",B292-C292)</f>
        <v/>
      </c>
      <c r="H292" t="str">
        <f>IF(A292="","",D292-E292)</f>
        <v/>
      </c>
      <c r="I292" t="str">
        <f>IF(A292="","",H292-F292-G292)</f>
        <v/>
      </c>
      <c r="J292" s="15" t="str">
        <f>IFERROR(I292/D292,"")</f>
        <v/>
      </c>
    </row>
    <row r="293" spans="4:10" x14ac:dyDescent="0.2">
      <c r="D293" t="str">
        <f>IF(A293="","",B293-C293)</f>
        <v/>
      </c>
      <c r="H293" t="str">
        <f>IF(A293="","",D293-E293)</f>
        <v/>
      </c>
      <c r="I293" t="str">
        <f>IF(A293="","",H293-F293-G293)</f>
        <v/>
      </c>
      <c r="J293" s="15" t="str">
        <f>IFERROR(I293/D293,"")</f>
        <v/>
      </c>
    </row>
    <row r="294" spans="4:10" x14ac:dyDescent="0.2">
      <c r="D294" t="str">
        <f>IF(A294="","",B294-C294)</f>
        <v/>
      </c>
      <c r="H294" t="str">
        <f>IF(A294="","",D294-E294)</f>
        <v/>
      </c>
      <c r="I294" t="str">
        <f>IF(A294="","",H294-F294-G294)</f>
        <v/>
      </c>
      <c r="J294" s="15" t="str">
        <f>IFERROR(I294/D294,"")</f>
        <v/>
      </c>
    </row>
    <row r="295" spans="4:10" x14ac:dyDescent="0.2">
      <c r="D295" t="str">
        <f>IF(A295="","",B295-C295)</f>
        <v/>
      </c>
      <c r="H295" t="str">
        <f>IF(A295="","",D295-E295)</f>
        <v/>
      </c>
      <c r="I295" t="str">
        <f>IF(A295="","",H295-F295-G295)</f>
        <v/>
      </c>
      <c r="J295" s="15" t="str">
        <f>IFERROR(I295/D295,"")</f>
        <v/>
      </c>
    </row>
    <row r="296" spans="4:10" x14ac:dyDescent="0.2">
      <c r="D296" t="str">
        <f>IF(A296="","",B296-C296)</f>
        <v/>
      </c>
      <c r="H296" t="str">
        <f>IF(A296="","",D296-E296)</f>
        <v/>
      </c>
      <c r="I296" t="str">
        <f>IF(A296="","",H296-F296-G296)</f>
        <v/>
      </c>
      <c r="J296" s="15" t="str">
        <f>IFERROR(I296/D296,"")</f>
        <v/>
      </c>
    </row>
    <row r="297" spans="4:10" x14ac:dyDescent="0.2">
      <c r="D297" t="str">
        <f>IF(A297="","",B297-C297)</f>
        <v/>
      </c>
      <c r="H297" t="str">
        <f>IF(A297="","",D297-E297)</f>
        <v/>
      </c>
      <c r="I297" t="str">
        <f>IF(A297="","",H297-F297-G297)</f>
        <v/>
      </c>
      <c r="J297" s="15" t="str">
        <f>IFERROR(I297/D297,"")</f>
        <v/>
      </c>
    </row>
    <row r="298" spans="4:10" x14ac:dyDescent="0.2">
      <c r="D298" t="str">
        <f>IF(A298="","",B298-C298)</f>
        <v/>
      </c>
      <c r="H298" t="str">
        <f>IF(A298="","",D298-E298)</f>
        <v/>
      </c>
      <c r="I298" t="str">
        <f>IF(A298="","",H298-F298-G298)</f>
        <v/>
      </c>
      <c r="J298" s="15" t="str">
        <f>IFERROR(I298/D298,"")</f>
        <v/>
      </c>
    </row>
    <row r="299" spans="4:10" x14ac:dyDescent="0.2">
      <c r="D299" t="str">
        <f>IF(A299="","",B299-C299)</f>
        <v/>
      </c>
      <c r="H299" t="str">
        <f>IF(A299="","",D299-E299)</f>
        <v/>
      </c>
      <c r="I299" t="str">
        <f>IF(A299="","",H299-F299-G299)</f>
        <v/>
      </c>
      <c r="J299" s="15" t="str">
        <f>IFERROR(I299/D299,"")</f>
        <v/>
      </c>
    </row>
    <row r="300" spans="4:10" x14ac:dyDescent="0.2">
      <c r="D300" t="str">
        <f>IF(A300="","",B300-C300)</f>
        <v/>
      </c>
      <c r="H300" t="str">
        <f>IF(A300="","",D300-E300)</f>
        <v/>
      </c>
      <c r="I300" t="str">
        <f>IF(A300="","",H300-F300-G300)</f>
        <v/>
      </c>
      <c r="J300" s="15" t="str">
        <f>IFERROR(I300/D300,"")</f>
        <v/>
      </c>
    </row>
    <row r="301" spans="4:10" x14ac:dyDescent="0.2">
      <c r="D301" t="str">
        <f>IF(A301="","",B301-C301)</f>
        <v/>
      </c>
      <c r="H301" t="str">
        <f>IF(A301="","",D301-E301)</f>
        <v/>
      </c>
      <c r="I301" t="str">
        <f>IF(A301="","",H301-F301-G301)</f>
        <v/>
      </c>
      <c r="J301" s="15" t="str">
        <f>IFERROR(I301/D301,"")</f>
        <v/>
      </c>
    </row>
    <row r="302" spans="4:10" x14ac:dyDescent="0.2">
      <c r="D302" t="str">
        <f>IF(A302="","",B302-C302)</f>
        <v/>
      </c>
      <c r="H302" t="str">
        <f>IF(A302="","",D302-E302)</f>
        <v/>
      </c>
      <c r="I302" t="str">
        <f>IF(A302="","",H302-F302-G302)</f>
        <v/>
      </c>
      <c r="J302" s="15" t="str">
        <f>IFERROR(I302/D302,"")</f>
        <v/>
      </c>
    </row>
    <row r="303" spans="4:10" x14ac:dyDescent="0.2">
      <c r="D303" t="str">
        <f>IF(A303="","",B303-C303)</f>
        <v/>
      </c>
      <c r="H303" t="str">
        <f>IF(A303="","",D303-E303)</f>
        <v/>
      </c>
      <c r="I303" t="str">
        <f>IF(A303="","",H303-F303-G303)</f>
        <v/>
      </c>
      <c r="J303" s="15" t="str">
        <f>IFERROR(I303/D303,"")</f>
        <v/>
      </c>
    </row>
    <row r="304" spans="4:10" x14ac:dyDescent="0.2">
      <c r="D304" t="str">
        <f>IF(A304="","",B304-C304)</f>
        <v/>
      </c>
      <c r="H304" t="str">
        <f>IF(A304="","",D304-E304)</f>
        <v/>
      </c>
      <c r="I304" t="str">
        <f>IF(A304="","",H304-F304-G304)</f>
        <v/>
      </c>
      <c r="J304" s="15" t="str">
        <f>IFERROR(I304/D304,"")</f>
        <v/>
      </c>
    </row>
    <row r="305" spans="4:10" x14ac:dyDescent="0.2">
      <c r="D305" t="str">
        <f>IF(A305="","",B305-C305)</f>
        <v/>
      </c>
      <c r="H305" t="str">
        <f>IF(A305="","",D305-E305)</f>
        <v/>
      </c>
      <c r="I305" t="str">
        <f>IF(A305="","",H305-F305-G305)</f>
        <v/>
      </c>
      <c r="J305" s="15" t="str">
        <f>IFERROR(I305/D305,"")</f>
        <v/>
      </c>
    </row>
    <row r="306" spans="4:10" x14ac:dyDescent="0.2">
      <c r="D306" t="str">
        <f>IF(A306="","",B306-C306)</f>
        <v/>
      </c>
      <c r="H306" t="str">
        <f>IF(A306="","",D306-E306)</f>
        <v/>
      </c>
      <c r="I306" t="str">
        <f>IF(A306="","",H306-F306-G306)</f>
        <v/>
      </c>
      <c r="J306" s="15" t="str">
        <f>IFERROR(I306/D306,"")</f>
        <v/>
      </c>
    </row>
    <row r="307" spans="4:10" x14ac:dyDescent="0.2">
      <c r="D307" t="str">
        <f>IF(A307="","",B307-C307)</f>
        <v/>
      </c>
      <c r="H307" t="str">
        <f>IF(A307="","",D307-E307)</f>
        <v/>
      </c>
      <c r="I307" t="str">
        <f>IF(A307="","",H307-F307-G307)</f>
        <v/>
      </c>
      <c r="J307" s="15" t="str">
        <f>IFERROR(I307/D307,"")</f>
        <v/>
      </c>
    </row>
    <row r="308" spans="4:10" x14ac:dyDescent="0.2">
      <c r="D308" t="str">
        <f>IF(A308="","",B308-C308)</f>
        <v/>
      </c>
      <c r="H308" t="str">
        <f>IF(A308="","",D308-E308)</f>
        <v/>
      </c>
      <c r="I308" t="str">
        <f>IF(A308="","",H308-F308-G308)</f>
        <v/>
      </c>
      <c r="J308" s="15" t="str">
        <f>IFERROR(I308/D308,"")</f>
        <v/>
      </c>
    </row>
    <row r="309" spans="4:10" x14ac:dyDescent="0.2">
      <c r="D309" t="str">
        <f>IF(A309="","",B309-C309)</f>
        <v/>
      </c>
      <c r="H309" t="str">
        <f>IF(A309="","",D309-E309)</f>
        <v/>
      </c>
      <c r="I309" t="str">
        <f>IF(A309="","",H309-F309-G309)</f>
        <v/>
      </c>
      <c r="J309" s="15" t="str">
        <f>IFERROR(I309/D309,"")</f>
        <v/>
      </c>
    </row>
    <row r="310" spans="4:10" x14ac:dyDescent="0.2">
      <c r="D310" t="str">
        <f>IF(A310="","",B310-C310)</f>
        <v/>
      </c>
      <c r="H310" t="str">
        <f>IF(A310="","",D310-E310)</f>
        <v/>
      </c>
      <c r="I310" t="str">
        <f>IF(A310="","",H310-F310-G310)</f>
        <v/>
      </c>
      <c r="J310" s="15" t="str">
        <f>IFERROR(I310/D310,"")</f>
        <v/>
      </c>
    </row>
    <row r="311" spans="4:10" x14ac:dyDescent="0.2">
      <c r="D311" t="str">
        <f>IF(A311="","",B311-C311)</f>
        <v/>
      </c>
      <c r="H311" t="str">
        <f>IF(A311="","",D311-E311)</f>
        <v/>
      </c>
      <c r="I311" t="str">
        <f>IF(A311="","",H311-F311-G311)</f>
        <v/>
      </c>
      <c r="J311" s="15" t="str">
        <f>IFERROR(I311/D311,"")</f>
        <v/>
      </c>
    </row>
    <row r="312" spans="4:10" x14ac:dyDescent="0.2">
      <c r="D312" t="str">
        <f>IF(A312="","",B312-C312)</f>
        <v/>
      </c>
      <c r="H312" t="str">
        <f>IF(A312="","",D312-E312)</f>
        <v/>
      </c>
      <c r="I312" t="str">
        <f>IF(A312="","",H312-F312-G312)</f>
        <v/>
      </c>
      <c r="J312" s="15" t="str">
        <f>IFERROR(I312/D312,"")</f>
        <v/>
      </c>
    </row>
    <row r="313" spans="4:10" x14ac:dyDescent="0.2">
      <c r="D313" t="str">
        <f>IF(A313="","",B313-C313)</f>
        <v/>
      </c>
      <c r="H313" t="str">
        <f>IF(A313="","",D313-E313)</f>
        <v/>
      </c>
      <c r="I313" t="str">
        <f>IF(A313="","",H313-F313-G313)</f>
        <v/>
      </c>
      <c r="J313" s="15" t="str">
        <f>IFERROR(I313/D313,"")</f>
        <v/>
      </c>
    </row>
    <row r="314" spans="4:10" x14ac:dyDescent="0.2">
      <c r="D314" t="str">
        <f>IF(A314="","",B314-C314)</f>
        <v/>
      </c>
      <c r="H314" t="str">
        <f>IF(A314="","",D314-E314)</f>
        <v/>
      </c>
      <c r="I314" t="str">
        <f>IF(A314="","",H314-F314-G314)</f>
        <v/>
      </c>
      <c r="J314" s="15" t="str">
        <f>IFERROR(I314/D314,"")</f>
        <v/>
      </c>
    </row>
    <row r="315" spans="4:10" x14ac:dyDescent="0.2">
      <c r="D315" t="str">
        <f>IF(A315="","",B315-C315)</f>
        <v/>
      </c>
      <c r="H315" t="str">
        <f>IF(A315="","",D315-E315)</f>
        <v/>
      </c>
      <c r="I315" t="str">
        <f>IF(A315="","",H315-F315-G315)</f>
        <v/>
      </c>
      <c r="J315" s="15" t="str">
        <f>IFERROR(I315/D315,"")</f>
        <v/>
      </c>
    </row>
    <row r="316" spans="4:10" x14ac:dyDescent="0.2">
      <c r="D316" t="str">
        <f>IF(A316="","",B316-C316)</f>
        <v/>
      </c>
      <c r="H316" t="str">
        <f>IF(A316="","",D316-E316)</f>
        <v/>
      </c>
      <c r="I316" t="str">
        <f>IF(A316="","",H316-F316-G316)</f>
        <v/>
      </c>
      <c r="J316" s="15" t="str">
        <f>IFERROR(I316/D316,"")</f>
        <v/>
      </c>
    </row>
    <row r="317" spans="4:10" x14ac:dyDescent="0.2">
      <c r="D317" t="str">
        <f>IF(A317="","",B317-C317)</f>
        <v/>
      </c>
      <c r="H317" t="str">
        <f>IF(A317="","",D317-E317)</f>
        <v/>
      </c>
      <c r="I317" t="str">
        <f>IF(A317="","",H317-F317-G317)</f>
        <v/>
      </c>
      <c r="J317" s="15" t="str">
        <f>IFERROR(I317/D317,"")</f>
        <v/>
      </c>
    </row>
    <row r="318" spans="4:10" x14ac:dyDescent="0.2">
      <c r="D318" t="str">
        <f>IF(A318="","",B318-C318)</f>
        <v/>
      </c>
      <c r="H318" t="str">
        <f>IF(A318="","",D318-E318)</f>
        <v/>
      </c>
      <c r="I318" t="str">
        <f>IF(A318="","",H318-F318-G318)</f>
        <v/>
      </c>
      <c r="J318" s="15" t="str">
        <f>IFERROR(I318/D318,"")</f>
        <v/>
      </c>
    </row>
    <row r="319" spans="4:10" x14ac:dyDescent="0.2">
      <c r="D319" t="str">
        <f>IF(A319="","",B319-C319)</f>
        <v/>
      </c>
      <c r="H319" t="str">
        <f>IF(A319="","",D319-E319)</f>
        <v/>
      </c>
      <c r="I319" t="str">
        <f>IF(A319="","",H319-F319-G319)</f>
        <v/>
      </c>
      <c r="J319" s="15" t="str">
        <f>IFERROR(I319/D319,"")</f>
        <v/>
      </c>
    </row>
    <row r="320" spans="4:10" x14ac:dyDescent="0.2">
      <c r="D320" t="str">
        <f>IF(A320="","",B320-C320)</f>
        <v/>
      </c>
      <c r="H320" t="str">
        <f>IF(A320="","",D320-E320)</f>
        <v/>
      </c>
      <c r="I320" t="str">
        <f>IF(A320="","",H320-F320-G320)</f>
        <v/>
      </c>
      <c r="J320" s="15" t="str">
        <f>IFERROR(I320/D320,"")</f>
        <v/>
      </c>
    </row>
    <row r="321" spans="4:10" x14ac:dyDescent="0.2">
      <c r="D321" t="str">
        <f>IF(A321="","",B321-C321)</f>
        <v/>
      </c>
      <c r="H321" t="str">
        <f>IF(A321="","",D321-E321)</f>
        <v/>
      </c>
      <c r="I321" t="str">
        <f>IF(A321="","",H321-F321-G321)</f>
        <v/>
      </c>
      <c r="J321" s="15" t="str">
        <f>IFERROR(I321/D321,"")</f>
        <v/>
      </c>
    </row>
    <row r="322" spans="4:10" x14ac:dyDescent="0.2">
      <c r="D322" t="str">
        <f>IF(A322="","",B322-C322)</f>
        <v/>
      </c>
      <c r="H322" t="str">
        <f>IF(A322="","",D322-E322)</f>
        <v/>
      </c>
      <c r="I322" t="str">
        <f>IF(A322="","",H322-F322-G322)</f>
        <v/>
      </c>
      <c r="J322" s="15" t="str">
        <f>IFERROR(I322/D322,"")</f>
        <v/>
      </c>
    </row>
    <row r="323" spans="4:10" x14ac:dyDescent="0.2">
      <c r="D323" t="str">
        <f>IF(A323="","",B323-C323)</f>
        <v/>
      </c>
      <c r="H323" t="str">
        <f>IF(A323="","",D323-E323)</f>
        <v/>
      </c>
      <c r="I323" t="str">
        <f>IF(A323="","",H323-F323-G323)</f>
        <v/>
      </c>
      <c r="J323" s="15" t="str">
        <f>IFERROR(I323/D323,"")</f>
        <v/>
      </c>
    </row>
    <row r="324" spans="4:10" x14ac:dyDescent="0.2">
      <c r="D324" t="str">
        <f>IF(A324="","",B324-C324)</f>
        <v/>
      </c>
      <c r="H324" t="str">
        <f>IF(A324="","",D324-E324)</f>
        <v/>
      </c>
      <c r="I324" t="str">
        <f>IF(A324="","",H324-F324-G324)</f>
        <v/>
      </c>
      <c r="J324" s="15" t="str">
        <f>IFERROR(I324/D324,"")</f>
        <v/>
      </c>
    </row>
    <row r="325" spans="4:10" x14ac:dyDescent="0.2">
      <c r="D325" t="str">
        <f>IF(A325="","",B325-C325)</f>
        <v/>
      </c>
      <c r="H325" t="str">
        <f>IF(A325="","",D325-E325)</f>
        <v/>
      </c>
      <c r="I325" t="str">
        <f>IF(A325="","",H325-F325-G325)</f>
        <v/>
      </c>
      <c r="J325" s="15" t="str">
        <f>IFERROR(I325/D325,"")</f>
        <v/>
      </c>
    </row>
    <row r="326" spans="4:10" x14ac:dyDescent="0.2">
      <c r="D326" t="str">
        <f>IF(A326="","",B326-C326)</f>
        <v/>
      </c>
      <c r="H326" t="str">
        <f>IF(A326="","",D326-E326)</f>
        <v/>
      </c>
      <c r="I326" t="str">
        <f>IF(A326="","",H326-F326-G326)</f>
        <v/>
      </c>
      <c r="J326" s="15" t="str">
        <f>IFERROR(I326/D326,"")</f>
        <v/>
      </c>
    </row>
    <row r="327" spans="4:10" x14ac:dyDescent="0.2">
      <c r="D327" t="str">
        <f>IF(A327="","",B327-C327)</f>
        <v/>
      </c>
      <c r="H327" t="str">
        <f>IF(A327="","",D327-E327)</f>
        <v/>
      </c>
      <c r="I327" t="str">
        <f>IF(A327="","",H327-F327-G327)</f>
        <v/>
      </c>
      <c r="J327" s="15" t="str">
        <f>IFERROR(I327/D327,"")</f>
        <v/>
      </c>
    </row>
    <row r="328" spans="4:10" x14ac:dyDescent="0.2">
      <c r="D328" t="str">
        <f>IF(A328="","",B328-C328)</f>
        <v/>
      </c>
      <c r="H328" t="str">
        <f>IF(A328="","",D328-E328)</f>
        <v/>
      </c>
      <c r="I328" t="str">
        <f>IF(A328="","",H328-F328-G328)</f>
        <v/>
      </c>
      <c r="J328" s="15" t="str">
        <f>IFERROR(I328/D328,"")</f>
        <v/>
      </c>
    </row>
    <row r="329" spans="4:10" x14ac:dyDescent="0.2">
      <c r="D329" t="str">
        <f>IF(A329="","",B329-C329)</f>
        <v/>
      </c>
      <c r="H329" t="str">
        <f>IF(A329="","",D329-E329)</f>
        <v/>
      </c>
      <c r="I329" t="str">
        <f>IF(A329="","",H329-F329-G329)</f>
        <v/>
      </c>
      <c r="J329" s="15" t="str">
        <f>IFERROR(I329/D329,"")</f>
        <v/>
      </c>
    </row>
    <row r="330" spans="4:10" x14ac:dyDescent="0.2">
      <c r="D330" t="str">
        <f>IF(A330="","",B330-C330)</f>
        <v/>
      </c>
      <c r="H330" t="str">
        <f>IF(A330="","",D330-E330)</f>
        <v/>
      </c>
      <c r="I330" t="str">
        <f>IF(A330="","",H330-F330-G330)</f>
        <v/>
      </c>
      <c r="J330" s="15" t="str">
        <f>IFERROR(I330/D330,"")</f>
        <v/>
      </c>
    </row>
    <row r="331" spans="4:10" x14ac:dyDescent="0.2">
      <c r="D331" t="str">
        <f>IF(A331="","",B331-C331)</f>
        <v/>
      </c>
      <c r="H331" t="str">
        <f>IF(A331="","",D331-E331)</f>
        <v/>
      </c>
      <c r="I331" t="str">
        <f>IF(A331="","",H331-F331-G331)</f>
        <v/>
      </c>
      <c r="J331" s="15" t="str">
        <f>IFERROR(I331/D331,"")</f>
        <v/>
      </c>
    </row>
    <row r="332" spans="4:10" x14ac:dyDescent="0.2">
      <c r="D332" t="str">
        <f>IF(A332="","",B332-C332)</f>
        <v/>
      </c>
      <c r="H332" t="str">
        <f>IF(A332="","",D332-E332)</f>
        <v/>
      </c>
      <c r="I332" t="str">
        <f>IF(A332="","",H332-F332-G332)</f>
        <v/>
      </c>
      <c r="J332" s="15" t="str">
        <f>IFERROR(I332/D332,"")</f>
        <v/>
      </c>
    </row>
    <row r="333" spans="4:10" x14ac:dyDescent="0.2">
      <c r="D333" t="str">
        <f>IF(A333="","",B333-C333)</f>
        <v/>
      </c>
      <c r="H333" t="str">
        <f>IF(A333="","",D333-E333)</f>
        <v/>
      </c>
      <c r="I333" t="str">
        <f>IF(A333="","",H333-F333-G333)</f>
        <v/>
      </c>
      <c r="J333" s="15" t="str">
        <f>IFERROR(I333/D333,"")</f>
        <v/>
      </c>
    </row>
    <row r="334" spans="4:10" x14ac:dyDescent="0.2">
      <c r="D334" t="str">
        <f>IF(A334="","",B334-C334)</f>
        <v/>
      </c>
      <c r="H334" t="str">
        <f>IF(A334="","",D334-E334)</f>
        <v/>
      </c>
      <c r="I334" t="str">
        <f>IF(A334="","",H334-F334-G334)</f>
        <v/>
      </c>
      <c r="J334" s="15" t="str">
        <f>IFERROR(I334/D334,"")</f>
        <v/>
      </c>
    </row>
    <row r="335" spans="4:10" x14ac:dyDescent="0.2">
      <c r="D335" t="str">
        <f>IF(A335="","",B335-C335)</f>
        <v/>
      </c>
      <c r="H335" t="str">
        <f>IF(A335="","",D335-E335)</f>
        <v/>
      </c>
      <c r="I335" t="str">
        <f>IF(A335="","",H335-F335-G335)</f>
        <v/>
      </c>
      <c r="J335" s="15" t="str">
        <f>IFERROR(I335/D335,"")</f>
        <v/>
      </c>
    </row>
    <row r="336" spans="4:10" x14ac:dyDescent="0.2">
      <c r="D336" t="str">
        <f>IF(A336="","",B336-C336)</f>
        <v/>
      </c>
      <c r="H336" t="str">
        <f>IF(A336="","",D336-E336)</f>
        <v/>
      </c>
      <c r="I336" t="str">
        <f>IF(A336="","",H336-F336-G336)</f>
        <v/>
      </c>
      <c r="J336" s="15" t="str">
        <f>IFERROR(I336/D336,"")</f>
        <v/>
      </c>
    </row>
    <row r="337" spans="4:10" x14ac:dyDescent="0.2">
      <c r="D337" t="str">
        <f>IF(A337="","",B337-C337)</f>
        <v/>
      </c>
      <c r="H337" t="str">
        <f>IF(A337="","",D337-E337)</f>
        <v/>
      </c>
      <c r="I337" t="str">
        <f>IF(A337="","",H337-F337-G337)</f>
        <v/>
      </c>
      <c r="J337" s="15" t="str">
        <f>IFERROR(I337/D337,"")</f>
        <v/>
      </c>
    </row>
    <row r="338" spans="4:10" x14ac:dyDescent="0.2">
      <c r="D338" t="str">
        <f>IF(A338="","",B338-C338)</f>
        <v/>
      </c>
      <c r="H338" t="str">
        <f>IF(A338="","",D338-E338)</f>
        <v/>
      </c>
      <c r="I338" t="str">
        <f>IF(A338="","",H338-F338-G338)</f>
        <v/>
      </c>
      <c r="J338" s="15" t="str">
        <f>IFERROR(I338/D338,"")</f>
        <v/>
      </c>
    </row>
    <row r="339" spans="4:10" x14ac:dyDescent="0.2">
      <c r="D339" t="str">
        <f>IF(A339="","",B339-C339)</f>
        <v/>
      </c>
      <c r="H339" t="str">
        <f>IF(A339="","",D339-E339)</f>
        <v/>
      </c>
      <c r="I339" t="str">
        <f>IF(A339="","",H339-F339-G339)</f>
        <v/>
      </c>
      <c r="J339" s="15" t="str">
        <f>IFERROR(I339/D339,"")</f>
        <v/>
      </c>
    </row>
    <row r="340" spans="4:10" x14ac:dyDescent="0.2">
      <c r="D340" t="str">
        <f>IF(A340="","",B340-C340)</f>
        <v/>
      </c>
      <c r="H340" t="str">
        <f>IF(A340="","",D340-E340)</f>
        <v/>
      </c>
      <c r="I340" t="str">
        <f>IF(A340="","",H340-F340-G340)</f>
        <v/>
      </c>
      <c r="J340" s="15" t="str">
        <f>IFERROR(I340/D340,"")</f>
        <v/>
      </c>
    </row>
    <row r="341" spans="4:10" x14ac:dyDescent="0.2">
      <c r="D341" t="str">
        <f>IF(A341="","",B341-C341)</f>
        <v/>
      </c>
      <c r="H341" t="str">
        <f>IF(A341="","",D341-E341)</f>
        <v/>
      </c>
      <c r="I341" t="str">
        <f>IF(A341="","",H341-F341-G341)</f>
        <v/>
      </c>
      <c r="J341" s="15" t="str">
        <f>IFERROR(I341/D341,"")</f>
        <v/>
      </c>
    </row>
    <row r="342" spans="4:10" x14ac:dyDescent="0.2">
      <c r="D342" t="str">
        <f>IF(A342="","",B342-C342)</f>
        <v/>
      </c>
      <c r="H342" t="str">
        <f>IF(A342="","",D342-E342)</f>
        <v/>
      </c>
      <c r="I342" t="str">
        <f>IF(A342="","",H342-F342-G342)</f>
        <v/>
      </c>
      <c r="J342" s="15" t="str">
        <f>IFERROR(I342/D342,"")</f>
        <v/>
      </c>
    </row>
    <row r="343" spans="4:10" x14ac:dyDescent="0.2">
      <c r="D343" t="str">
        <f>IF(A343="","",B343-C343)</f>
        <v/>
      </c>
      <c r="H343" t="str">
        <f>IF(A343="","",D343-E343)</f>
        <v/>
      </c>
      <c r="I343" t="str">
        <f>IF(A343="","",H343-F343-G343)</f>
        <v/>
      </c>
      <c r="J343" s="15" t="str">
        <f>IFERROR(I343/D343,"")</f>
        <v/>
      </c>
    </row>
    <row r="344" spans="4:10" x14ac:dyDescent="0.2">
      <c r="D344" t="str">
        <f>IF(A344="","",B344-C344)</f>
        <v/>
      </c>
      <c r="H344" t="str">
        <f>IF(A344="","",D344-E344)</f>
        <v/>
      </c>
      <c r="I344" t="str">
        <f>IF(A344="","",H344-F344-G344)</f>
        <v/>
      </c>
      <c r="J344" s="15" t="str">
        <f>IFERROR(I344/D344,"")</f>
        <v/>
      </c>
    </row>
    <row r="345" spans="4:10" x14ac:dyDescent="0.2">
      <c r="D345" t="str">
        <f>IF(A345="","",B345-C345)</f>
        <v/>
      </c>
      <c r="H345" t="str">
        <f>IF(A345="","",D345-E345)</f>
        <v/>
      </c>
      <c r="I345" t="str">
        <f>IF(A345="","",H345-F345-G345)</f>
        <v/>
      </c>
      <c r="J345" s="15" t="str">
        <f>IFERROR(I345/D345,"")</f>
        <v/>
      </c>
    </row>
    <row r="346" spans="4:10" x14ac:dyDescent="0.2">
      <c r="D346" t="str">
        <f>IF(A346="","",B346-C346)</f>
        <v/>
      </c>
      <c r="H346" t="str">
        <f>IF(A346="","",D346-E346)</f>
        <v/>
      </c>
      <c r="I346" t="str">
        <f>IF(A346="","",H346-F346-G346)</f>
        <v/>
      </c>
      <c r="J346" s="15" t="str">
        <f>IFERROR(I346/D346,"")</f>
        <v/>
      </c>
    </row>
    <row r="347" spans="4:10" x14ac:dyDescent="0.2">
      <c r="D347" t="str">
        <f>IF(A347="","",B347-C347)</f>
        <v/>
      </c>
      <c r="H347" t="str">
        <f>IF(A347="","",D347-E347)</f>
        <v/>
      </c>
      <c r="I347" t="str">
        <f>IF(A347="","",H347-F347-G347)</f>
        <v/>
      </c>
      <c r="J347" s="15" t="str">
        <f>IFERROR(I347/D347,"")</f>
        <v/>
      </c>
    </row>
    <row r="348" spans="4:10" x14ac:dyDescent="0.2">
      <c r="D348" t="str">
        <f>IF(A348="","",B348-C348)</f>
        <v/>
      </c>
      <c r="H348" t="str">
        <f>IF(A348="","",D348-E348)</f>
        <v/>
      </c>
      <c r="I348" t="str">
        <f>IF(A348="","",H348-F348-G348)</f>
        <v/>
      </c>
      <c r="J348" s="15" t="str">
        <f>IFERROR(I348/D348,"")</f>
        <v/>
      </c>
    </row>
    <row r="349" spans="4:10" x14ac:dyDescent="0.2">
      <c r="D349" t="str">
        <f>IF(A349="","",B349-C349)</f>
        <v/>
      </c>
      <c r="H349" t="str">
        <f>IF(A349="","",D349-E349)</f>
        <v/>
      </c>
      <c r="I349" t="str">
        <f>IF(A349="","",H349-F349-G349)</f>
        <v/>
      </c>
      <c r="J349" s="15" t="str">
        <f>IFERROR(I349/D349,"")</f>
        <v/>
      </c>
    </row>
    <row r="350" spans="4:10" x14ac:dyDescent="0.2">
      <c r="D350" t="str">
        <f>IF(A350="","",B350-C350)</f>
        <v/>
      </c>
      <c r="H350" t="str">
        <f>IF(A350="","",D350-E350)</f>
        <v/>
      </c>
      <c r="I350" t="str">
        <f>IF(A350="","",H350-F350-G350)</f>
        <v/>
      </c>
      <c r="J350" s="15" t="str">
        <f>IFERROR(I350/D350,"")</f>
        <v/>
      </c>
    </row>
    <row r="351" spans="4:10" x14ac:dyDescent="0.2">
      <c r="D351" t="str">
        <f>IF(A351="","",B351-C351)</f>
        <v/>
      </c>
      <c r="H351" t="str">
        <f>IF(A351="","",D351-E351)</f>
        <v/>
      </c>
      <c r="I351" t="str">
        <f>IF(A351="","",H351-F351-G351)</f>
        <v/>
      </c>
      <c r="J351" s="15" t="str">
        <f>IFERROR(I351/D351,"")</f>
        <v/>
      </c>
    </row>
    <row r="352" spans="4:10" x14ac:dyDescent="0.2">
      <c r="D352" t="str">
        <f>IF(A352="","",B352-C352)</f>
        <v/>
      </c>
      <c r="H352" t="str">
        <f>IF(A352="","",D352-E352)</f>
        <v/>
      </c>
      <c r="I352" t="str">
        <f>IF(A352="","",H352-F352-G352)</f>
        <v/>
      </c>
      <c r="J352" s="15" t="str">
        <f>IFERROR(I352/D352,"")</f>
        <v/>
      </c>
    </row>
    <row r="353" spans="4:10" x14ac:dyDescent="0.2">
      <c r="D353" t="str">
        <f>IF(A353="","",B353-C353)</f>
        <v/>
      </c>
      <c r="H353" t="str">
        <f>IF(A353="","",D353-E353)</f>
        <v/>
      </c>
      <c r="I353" t="str">
        <f>IF(A353="","",H353-F353-G353)</f>
        <v/>
      </c>
      <c r="J353" s="15" t="str">
        <f>IFERROR(I353/D353,"")</f>
        <v/>
      </c>
    </row>
    <row r="354" spans="4:10" x14ac:dyDescent="0.2">
      <c r="D354" t="str">
        <f>IF(A354="","",B354-C354)</f>
        <v/>
      </c>
      <c r="H354" t="str">
        <f>IF(A354="","",D354-E354)</f>
        <v/>
      </c>
      <c r="I354" t="str">
        <f>IF(A354="","",H354-F354-G354)</f>
        <v/>
      </c>
      <c r="J354" s="15" t="str">
        <f>IFERROR(I354/D354,"")</f>
        <v/>
      </c>
    </row>
    <row r="355" spans="4:10" x14ac:dyDescent="0.2">
      <c r="D355" t="str">
        <f>IF(A355="","",B355-C355)</f>
        <v/>
      </c>
      <c r="H355" t="str">
        <f>IF(A355="","",D355-E355)</f>
        <v/>
      </c>
      <c r="I355" t="str">
        <f>IF(A355="","",H355-F355-G355)</f>
        <v/>
      </c>
      <c r="J355" s="15" t="str">
        <f>IFERROR(I355/D355,"")</f>
        <v/>
      </c>
    </row>
    <row r="356" spans="4:10" x14ac:dyDescent="0.2">
      <c r="D356" t="str">
        <f>IF(A356="","",B356-C356)</f>
        <v/>
      </c>
      <c r="H356" t="str">
        <f>IF(A356="","",D356-E356)</f>
        <v/>
      </c>
      <c r="I356" t="str">
        <f>IF(A356="","",H356-F356-G356)</f>
        <v/>
      </c>
      <c r="J356" s="15" t="str">
        <f>IFERROR(I356/D356,"")</f>
        <v/>
      </c>
    </row>
    <row r="357" spans="4:10" x14ac:dyDescent="0.2">
      <c r="D357" t="str">
        <f>IF(A357="","",B357-C357)</f>
        <v/>
      </c>
      <c r="H357" t="str">
        <f>IF(A357="","",D357-E357)</f>
        <v/>
      </c>
      <c r="I357" t="str">
        <f>IF(A357="","",H357-F357-G357)</f>
        <v/>
      </c>
      <c r="J357" s="15" t="str">
        <f>IFERROR(I357/D357,"")</f>
        <v/>
      </c>
    </row>
    <row r="358" spans="4:10" x14ac:dyDescent="0.2">
      <c r="D358" t="str">
        <f>IF(A358="","",B358-C358)</f>
        <v/>
      </c>
      <c r="H358" t="str">
        <f>IF(A358="","",D358-E358)</f>
        <v/>
      </c>
      <c r="I358" t="str">
        <f>IF(A358="","",H358-F358-G358)</f>
        <v/>
      </c>
      <c r="J358" s="15" t="str">
        <f>IFERROR(I358/D358,"")</f>
        <v/>
      </c>
    </row>
    <row r="359" spans="4:10" x14ac:dyDescent="0.2">
      <c r="D359" t="str">
        <f>IF(A359="","",B359-C359)</f>
        <v/>
      </c>
      <c r="H359" t="str">
        <f>IF(A359="","",D359-E359)</f>
        <v/>
      </c>
      <c r="I359" t="str">
        <f>IF(A359="","",H359-F359-G359)</f>
        <v/>
      </c>
      <c r="J359" s="15" t="str">
        <f>IFERROR(I359/D359,"")</f>
        <v/>
      </c>
    </row>
    <row r="360" spans="4:10" x14ac:dyDescent="0.2">
      <c r="D360" t="str">
        <f>IF(A360="","",B360-C360)</f>
        <v/>
      </c>
      <c r="H360" t="str">
        <f>IF(A360="","",D360-E360)</f>
        <v/>
      </c>
      <c r="I360" t="str">
        <f>IF(A360="","",H360-F360-G360)</f>
        <v/>
      </c>
      <c r="J360" s="15" t="str">
        <f>IFERROR(I360/D360,"")</f>
        <v/>
      </c>
    </row>
    <row r="361" spans="4:10" x14ac:dyDescent="0.2">
      <c r="D361" t="str">
        <f>IF(A361="","",B361-C361)</f>
        <v/>
      </c>
      <c r="H361" t="str">
        <f>IF(A361="","",D361-E361)</f>
        <v/>
      </c>
      <c r="I361" t="str">
        <f>IF(A361="","",H361-F361-G361)</f>
        <v/>
      </c>
      <c r="J361" s="15" t="str">
        <f>IFERROR(I361/D361,"")</f>
        <v/>
      </c>
    </row>
    <row r="362" spans="4:10" x14ac:dyDescent="0.2">
      <c r="D362" t="str">
        <f>IF(A362="","",B362-C362)</f>
        <v/>
      </c>
      <c r="H362" t="str">
        <f>IF(A362="","",D362-E362)</f>
        <v/>
      </c>
      <c r="I362" t="str">
        <f>IF(A362="","",H362-F362-G362)</f>
        <v/>
      </c>
      <c r="J362" s="15" t="str">
        <f>IFERROR(I362/D362,"")</f>
        <v/>
      </c>
    </row>
    <row r="363" spans="4:10" x14ac:dyDescent="0.2">
      <c r="D363" t="str">
        <f>IF(A363="","",B363-C363)</f>
        <v/>
      </c>
      <c r="H363" t="str">
        <f>IF(A363="","",D363-E363)</f>
        <v/>
      </c>
      <c r="I363" t="str">
        <f>IF(A363="","",H363-F363-G363)</f>
        <v/>
      </c>
      <c r="J363" s="15" t="str">
        <f>IFERROR(I363/D363,"")</f>
        <v/>
      </c>
    </row>
    <row r="364" spans="4:10" x14ac:dyDescent="0.2">
      <c r="D364" t="str">
        <f>IF(A364="","",B364-C364)</f>
        <v/>
      </c>
      <c r="H364" t="str">
        <f>IF(A364="","",D364-E364)</f>
        <v/>
      </c>
      <c r="I364" t="str">
        <f>IF(A364="","",H364-F364-G364)</f>
        <v/>
      </c>
      <c r="J364" s="15" t="str">
        <f>IFERROR(I364/D364,"")</f>
        <v/>
      </c>
    </row>
    <row r="365" spans="4:10" x14ac:dyDescent="0.2">
      <c r="D365" t="str">
        <f>IF(A365="","",B365-C365)</f>
        <v/>
      </c>
      <c r="H365" t="str">
        <f>IF(A365="","",D365-E365)</f>
        <v/>
      </c>
      <c r="I365" t="str">
        <f>IF(A365="","",H365-F365-G365)</f>
        <v/>
      </c>
      <c r="J365" s="15" t="str">
        <f>IFERROR(I365/D365,"")</f>
        <v/>
      </c>
    </row>
    <row r="366" spans="4:10" x14ac:dyDescent="0.2">
      <c r="D366" t="str">
        <f>IF(A366="","",B366-C366)</f>
        <v/>
      </c>
      <c r="H366" t="str">
        <f>IF(A366="","",D366-E366)</f>
        <v/>
      </c>
      <c r="I366" t="str">
        <f>IF(A366="","",H366-F366-G366)</f>
        <v/>
      </c>
      <c r="J366" s="15" t="str">
        <f>IFERROR(I366/D366,"")</f>
        <v/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1"/>
  <sheetViews>
    <sheetView workbookViewId="0">
      <pane ySplit="1" topLeftCell="A74" activePane="bottomLeft" state="frozen"/>
      <selection pane="bottomLeft" activeCell="B5" sqref="B5"/>
    </sheetView>
  </sheetViews>
  <sheetFormatPr defaultRowHeight="15" x14ac:dyDescent="0.2"/>
  <cols>
    <col min="1" max="1" width="23.40625" style="17" customWidth="1"/>
    <col min="2" max="4" width="20.04296875" style="17" customWidth="1"/>
    <col min="5" max="6" width="22.05859375" style="17" customWidth="1"/>
    <col min="7" max="7" width="21.1171875" style="17" customWidth="1"/>
  </cols>
  <sheetData>
    <row r="1" spans="1:7" x14ac:dyDescent="0.2">
      <c r="A1" s="16" t="s">
        <v>62</v>
      </c>
      <c r="B1" s="16" t="s">
        <v>112</v>
      </c>
      <c r="C1" s="16" t="s">
        <v>113</v>
      </c>
      <c r="D1" s="16" t="s">
        <v>114</v>
      </c>
      <c r="E1" s="16" t="s">
        <v>115</v>
      </c>
      <c r="F1" s="16" t="s">
        <v>116</v>
      </c>
      <c r="G1" s="16" t="s">
        <v>117</v>
      </c>
    </row>
    <row r="2" spans="1:7" x14ac:dyDescent="0.2">
      <c r="E2" s="19" t="s">
        <v>118</v>
      </c>
      <c r="G2" t="str">
        <f>IF(A2="","",B2+C2+E2-D2-F2)</f>
        <v/>
      </c>
    </row>
    <row r="3" spans="1:7" x14ac:dyDescent="0.2">
      <c r="G3" t="str">
        <f>IF(A3="","",B3+C3+E3-D3-F3)</f>
        <v/>
      </c>
    </row>
    <row r="4" spans="1:7" x14ac:dyDescent="0.2">
      <c r="G4" t="str">
        <f>IF(A4="","",B4+C4+E4-D4-F4)</f>
        <v/>
      </c>
    </row>
    <row r="5" spans="1:7" x14ac:dyDescent="0.2">
      <c r="G5" t="str">
        <f>IF(A5="","",B5+C5+E5-D5-F5)</f>
        <v/>
      </c>
    </row>
    <row r="6" spans="1:7" x14ac:dyDescent="0.2">
      <c r="G6" t="str">
        <f>IF(A6="","",B6+C6+E6-D6-F6)</f>
        <v/>
      </c>
    </row>
    <row r="7" spans="1:7" x14ac:dyDescent="0.2">
      <c r="G7" t="str">
        <f>IF(A7="","",B7+C7+E7-D7-F7)</f>
        <v/>
      </c>
    </row>
    <row r="8" spans="1:7" x14ac:dyDescent="0.2">
      <c r="G8" t="str">
        <f>IF(A8="","",B8+C8+E8-D8-F8)</f>
        <v/>
      </c>
    </row>
    <row r="9" spans="1:7" x14ac:dyDescent="0.2">
      <c r="G9" t="str">
        <f>IF(A9="","",B9+C9+E9-D9-F9)</f>
        <v/>
      </c>
    </row>
    <row r="10" spans="1:7" x14ac:dyDescent="0.2">
      <c r="G10" t="str">
        <f>IF(A10="","",B10+C10+E10-D10-F10)</f>
        <v/>
      </c>
    </row>
    <row r="11" spans="1:7" x14ac:dyDescent="0.2">
      <c r="G11" t="str">
        <f>IF(A11="","",B11+C11+E11-D11-F11)</f>
        <v/>
      </c>
    </row>
    <row r="12" spans="1:7" x14ac:dyDescent="0.2">
      <c r="G12" t="str">
        <f>IF(A12="","",B12+C12+E12-D12-F12)</f>
        <v/>
      </c>
    </row>
    <row r="13" spans="1:7" x14ac:dyDescent="0.2">
      <c r="G13" t="str">
        <f>IF(A13="","",B13+C13+E13-D13-F13)</f>
        <v/>
      </c>
    </row>
    <row r="14" spans="1:7" x14ac:dyDescent="0.2">
      <c r="G14" t="str">
        <f>IF(A14="","",B14+C14+E14-D14-F14)</f>
        <v/>
      </c>
    </row>
    <row r="15" spans="1:7" x14ac:dyDescent="0.2">
      <c r="G15" t="str">
        <f>IF(A15="","",B15+C15+E15-D15-F15)</f>
        <v/>
      </c>
    </row>
    <row r="16" spans="1:7" x14ac:dyDescent="0.2">
      <c r="G16" t="str">
        <f>IF(A16="","",B16+C16+E16-D16-F16)</f>
        <v/>
      </c>
    </row>
    <row r="17" spans="7:7" x14ac:dyDescent="0.2">
      <c r="G17" t="str">
        <f>IF(A17="","",B17+C17+E17-D17-F17)</f>
        <v/>
      </c>
    </row>
    <row r="18" spans="7:7" x14ac:dyDescent="0.2">
      <c r="G18" t="str">
        <f>IF(A18="","",B18+C18+E18-D18-F18)</f>
        <v/>
      </c>
    </row>
    <row r="19" spans="7:7" x14ac:dyDescent="0.2">
      <c r="G19" t="str">
        <f>IF(A19="","",B19+C19+E19-D19-F19)</f>
        <v/>
      </c>
    </row>
    <row r="20" spans="7:7" x14ac:dyDescent="0.2">
      <c r="G20" t="str">
        <f>IF(A20="","",B20+C20+E20-D20-F20)</f>
        <v/>
      </c>
    </row>
    <row r="21" spans="7:7" x14ac:dyDescent="0.2">
      <c r="G21" t="str">
        <f>IF(A21="","",B21+C21+E21-D21-F21)</f>
        <v/>
      </c>
    </row>
    <row r="22" spans="7:7" x14ac:dyDescent="0.2">
      <c r="G22" t="str">
        <f>IF(A22="","",B22+C22+E22-D22-F22)</f>
        <v/>
      </c>
    </row>
    <row r="23" spans="7:7" x14ac:dyDescent="0.2">
      <c r="G23" t="str">
        <f>IF(A23="","",B23+C23+E23-D23-F23)</f>
        <v/>
      </c>
    </row>
    <row r="24" spans="7:7" x14ac:dyDescent="0.2">
      <c r="G24" t="str">
        <f>IF(A24="","",B24+C24+E24-D24-F24)</f>
        <v/>
      </c>
    </row>
    <row r="25" spans="7:7" x14ac:dyDescent="0.2">
      <c r="G25" t="str">
        <f>IF(A25="","",B25+C25+E25-D25-F25)</f>
        <v/>
      </c>
    </row>
    <row r="26" spans="7:7" x14ac:dyDescent="0.2">
      <c r="G26" t="str">
        <f>IF(A26="","",B26+C26+E26-D26-F26)</f>
        <v/>
      </c>
    </row>
    <row r="27" spans="7:7" x14ac:dyDescent="0.2">
      <c r="G27" t="str">
        <f>IF(A27="","",B27+C27+E27-D27-F27)</f>
        <v/>
      </c>
    </row>
    <row r="28" spans="7:7" x14ac:dyDescent="0.2">
      <c r="G28" t="str">
        <f>IF(A28="","",B28+C28+E28-D28-F28)</f>
        <v/>
      </c>
    </row>
    <row r="29" spans="7:7" x14ac:dyDescent="0.2">
      <c r="G29" t="str">
        <f>IF(A29="","",B29+C29+E29-D29-F29)</f>
        <v/>
      </c>
    </row>
    <row r="30" spans="7:7" x14ac:dyDescent="0.2">
      <c r="G30" t="str">
        <f>IF(A30="","",B30+C30+E30-D30-F30)</f>
        <v/>
      </c>
    </row>
    <row r="31" spans="7:7" x14ac:dyDescent="0.2">
      <c r="G31" t="str">
        <f>IF(A31="","",B31+C31+E31-D31-F31)</f>
        <v/>
      </c>
    </row>
    <row r="32" spans="7:7" x14ac:dyDescent="0.2">
      <c r="G32" t="str">
        <f>IF(A32="","",B32+C32+E32-D32-F32)</f>
        <v/>
      </c>
    </row>
    <row r="33" spans="7:7" x14ac:dyDescent="0.2">
      <c r="G33" t="str">
        <f>IF(A33="","",B33+C33+E33-D33-F33)</f>
        <v/>
      </c>
    </row>
    <row r="34" spans="7:7" x14ac:dyDescent="0.2">
      <c r="G34" t="str">
        <f>IF(A34="","",B34+C34+E34-D34-F34)</f>
        <v/>
      </c>
    </row>
    <row r="35" spans="7:7" x14ac:dyDescent="0.2">
      <c r="G35" t="str">
        <f>IF(A35="","",B35+C35+E35-D35-F35)</f>
        <v/>
      </c>
    </row>
    <row r="36" spans="7:7" x14ac:dyDescent="0.2">
      <c r="G36" t="str">
        <f>IF(A36="","",B36+C36+E36-D36-F36)</f>
        <v/>
      </c>
    </row>
    <row r="37" spans="7:7" x14ac:dyDescent="0.2">
      <c r="G37" t="str">
        <f>IF(A37="","",B37+C37+E37-D37-F37)</f>
        <v/>
      </c>
    </row>
    <row r="38" spans="7:7" x14ac:dyDescent="0.2">
      <c r="G38" t="str">
        <f>IF(A38="","",B38+C38+E38-D38-F38)</f>
        <v/>
      </c>
    </row>
    <row r="39" spans="7:7" x14ac:dyDescent="0.2">
      <c r="G39" t="str">
        <f>IF(A39="","",B39+C39+E39-D39-F39)</f>
        <v/>
      </c>
    </row>
    <row r="40" spans="7:7" x14ac:dyDescent="0.2">
      <c r="G40" t="str">
        <f>IF(A40="","",B40+C40+E40-D40-F40)</f>
        <v/>
      </c>
    </row>
    <row r="41" spans="7:7" x14ac:dyDescent="0.2">
      <c r="G41" t="str">
        <f>IF(A41="","",B41+C41+E41-D41-F41)</f>
        <v/>
      </c>
    </row>
    <row r="42" spans="7:7" x14ac:dyDescent="0.2">
      <c r="G42" t="str">
        <f>IF(A42="","",B42+C42+E42-D42-F42)</f>
        <v/>
      </c>
    </row>
    <row r="43" spans="7:7" x14ac:dyDescent="0.2">
      <c r="G43" t="str">
        <f>IF(A43="","",B43+C43+E43-D43-F43)</f>
        <v/>
      </c>
    </row>
    <row r="44" spans="7:7" x14ac:dyDescent="0.2">
      <c r="G44" t="str">
        <f>IF(A44="","",B44+C44+E44-D44-F44)</f>
        <v/>
      </c>
    </row>
    <row r="45" spans="7:7" x14ac:dyDescent="0.2">
      <c r="G45" t="str">
        <f>IF(A45="","",B45+C45+E45-D45-F45)</f>
        <v/>
      </c>
    </row>
    <row r="46" spans="7:7" x14ac:dyDescent="0.2">
      <c r="G46" t="str">
        <f>IF(A46="","",B46+C46+E46-D46-F46)</f>
        <v/>
      </c>
    </row>
    <row r="47" spans="7:7" x14ac:dyDescent="0.2">
      <c r="G47" t="str">
        <f>IF(A47="","",B47+C47+E47-D47-F47)</f>
        <v/>
      </c>
    </row>
    <row r="48" spans="7:7" x14ac:dyDescent="0.2">
      <c r="G48" t="str">
        <f>IF(A48="","",B48+C48+E48-D48-F48)</f>
        <v/>
      </c>
    </row>
    <row r="49" spans="7:7" x14ac:dyDescent="0.2">
      <c r="G49" t="str">
        <f>IF(A49="","",B49+C49+E49-D49-F49)</f>
        <v/>
      </c>
    </row>
    <row r="50" spans="7:7" x14ac:dyDescent="0.2">
      <c r="G50" t="str">
        <f>IF(A50="","",B50+C50+E50-D50-F50)</f>
        <v/>
      </c>
    </row>
    <row r="51" spans="7:7" x14ac:dyDescent="0.2">
      <c r="G51" t="str">
        <f>IF(A51="","",B51+C51+E51-D51-F51)</f>
        <v/>
      </c>
    </row>
    <row r="52" spans="7:7" x14ac:dyDescent="0.2">
      <c r="G52" t="str">
        <f>IF(A52="","",B52+C52+E52-D52-F52)</f>
        <v/>
      </c>
    </row>
    <row r="53" spans="7:7" x14ac:dyDescent="0.2">
      <c r="G53" t="str">
        <f>IF(A53="","",B53+C53+E53-D53-F53)</f>
        <v/>
      </c>
    </row>
    <row r="54" spans="7:7" x14ac:dyDescent="0.2">
      <c r="G54" t="str">
        <f>IF(A54="","",B54+C54+E54-D54-F54)</f>
        <v/>
      </c>
    </row>
    <row r="55" spans="7:7" x14ac:dyDescent="0.2">
      <c r="G55" t="str">
        <f>IF(A55="","",B55+C55+E55-D55-F55)</f>
        <v/>
      </c>
    </row>
    <row r="56" spans="7:7" x14ac:dyDescent="0.2">
      <c r="G56" t="str">
        <f>IF(A56="","",B56+C56+E56-D56-F56)</f>
        <v/>
      </c>
    </row>
    <row r="57" spans="7:7" x14ac:dyDescent="0.2">
      <c r="G57" t="str">
        <f>IF(A57="","",B57+C57+E57-D57-F57)</f>
        <v/>
      </c>
    </row>
    <row r="58" spans="7:7" x14ac:dyDescent="0.2">
      <c r="G58" t="str">
        <f>IF(A58="","",B58+C58+E58-D58-F58)</f>
        <v/>
      </c>
    </row>
    <row r="59" spans="7:7" x14ac:dyDescent="0.2">
      <c r="G59" t="str">
        <f>IF(A59="","",B59+C59+E59-D59-F59)</f>
        <v/>
      </c>
    </row>
    <row r="60" spans="7:7" x14ac:dyDescent="0.2">
      <c r="G60" t="str">
        <f>IF(A60="","",B60+C60+E60-D60-F60)</f>
        <v/>
      </c>
    </row>
    <row r="61" spans="7:7" x14ac:dyDescent="0.2">
      <c r="G61" t="str">
        <f>IF(A61="","",B61+C61+E61-D61-F61)</f>
        <v/>
      </c>
    </row>
    <row r="62" spans="7:7" x14ac:dyDescent="0.2">
      <c r="G62" t="str">
        <f>IF(A62="","",B62+C62+E62-D62-F62)</f>
        <v/>
      </c>
    </row>
    <row r="63" spans="7:7" x14ac:dyDescent="0.2">
      <c r="G63" t="str">
        <f>IF(A63="","",B63+C63+E63-D63-F63)</f>
        <v/>
      </c>
    </row>
    <row r="64" spans="7:7" x14ac:dyDescent="0.2">
      <c r="G64" t="str">
        <f>IF(A64="","",B64+C64+E64-D64-F64)</f>
        <v/>
      </c>
    </row>
    <row r="65" spans="7:7" x14ac:dyDescent="0.2">
      <c r="G65" t="str">
        <f>IF(A65="","",B65+C65+E65-D65-F65)</f>
        <v/>
      </c>
    </row>
    <row r="66" spans="7:7" x14ac:dyDescent="0.2">
      <c r="G66" t="str">
        <f>IF(A66="","",B66+C66+E66-D66-F66)</f>
        <v/>
      </c>
    </row>
    <row r="67" spans="7:7" x14ac:dyDescent="0.2">
      <c r="G67" t="str">
        <f>IF(A67="","",B67+C67+E67-D67-F67)</f>
        <v/>
      </c>
    </row>
    <row r="68" spans="7:7" x14ac:dyDescent="0.2">
      <c r="G68" t="str">
        <f>IF(A68="","",B68+C68+E68-D68-F68)</f>
        <v/>
      </c>
    </row>
    <row r="69" spans="7:7" x14ac:dyDescent="0.2">
      <c r="G69" t="str">
        <f>IF(A69="","",B69+C69+E69-D69-F69)</f>
        <v/>
      </c>
    </row>
    <row r="70" spans="7:7" x14ac:dyDescent="0.2">
      <c r="G70" t="str">
        <f>IF(A70="","",B70+C70+E70-D70-F70)</f>
        <v/>
      </c>
    </row>
    <row r="71" spans="7:7" x14ac:dyDescent="0.2">
      <c r="G71" t="str">
        <f>IF(A71="","",B71+C71+E71-D71-F71)</f>
        <v/>
      </c>
    </row>
    <row r="72" spans="7:7" x14ac:dyDescent="0.2">
      <c r="G72" t="str">
        <f>IF(A72="","",B72+C72+E72-D72-F72)</f>
        <v/>
      </c>
    </row>
    <row r="73" spans="7:7" x14ac:dyDescent="0.2">
      <c r="G73" t="str">
        <f>IF(A73="","",B73+C73+E73-D73-F73)</f>
        <v/>
      </c>
    </row>
    <row r="74" spans="7:7" x14ac:dyDescent="0.2">
      <c r="G74" t="str">
        <f>IF(A74="","",B74+C74+E74-D74-F74)</f>
        <v/>
      </c>
    </row>
    <row r="75" spans="7:7" x14ac:dyDescent="0.2">
      <c r="G75" t="str">
        <f>IF(A75="","",B75+C75+E75-D75-F75)</f>
        <v/>
      </c>
    </row>
    <row r="76" spans="7:7" x14ac:dyDescent="0.2">
      <c r="G76" t="str">
        <f>IF(A76="","",B76+C76+E76-D76-F76)</f>
        <v/>
      </c>
    </row>
    <row r="77" spans="7:7" x14ac:dyDescent="0.2">
      <c r="G77" t="str">
        <f>IF(A77="","",B77+C77+E77-D77-F77)</f>
        <v/>
      </c>
    </row>
    <row r="78" spans="7:7" x14ac:dyDescent="0.2">
      <c r="G78" t="str">
        <f>IF(A78="","",B78+C78+E78-D78-F78)</f>
        <v/>
      </c>
    </row>
    <row r="79" spans="7:7" x14ac:dyDescent="0.2">
      <c r="G79" t="str">
        <f>IF(A79="","",B79+C79+E79-D79-F79)</f>
        <v/>
      </c>
    </row>
    <row r="80" spans="7:7" x14ac:dyDescent="0.2">
      <c r="G80" t="str">
        <f>IF(A80="","",B80+C80+E80-D80-F80)</f>
        <v/>
      </c>
    </row>
    <row r="81" spans="7:7" x14ac:dyDescent="0.2">
      <c r="G81" t="str">
        <f>IF(A81="","",B81+C81+E81-D81-F81)</f>
        <v/>
      </c>
    </row>
    <row r="82" spans="7:7" x14ac:dyDescent="0.2">
      <c r="G82" t="str">
        <f>IF(A82="","",B82+C82+E82-D82-F82)</f>
        <v/>
      </c>
    </row>
    <row r="83" spans="7:7" x14ac:dyDescent="0.2">
      <c r="G83" t="str">
        <f>IF(A83="","",B83+C83+E83-D83-F83)</f>
        <v/>
      </c>
    </row>
    <row r="84" spans="7:7" x14ac:dyDescent="0.2">
      <c r="G84" t="str">
        <f>IF(A84="","",B84+C84+E84-D84-F84)</f>
        <v/>
      </c>
    </row>
    <row r="85" spans="7:7" x14ac:dyDescent="0.2">
      <c r="G85" t="str">
        <f>IF(A85="","",B85+C85+E85-D85-F85)</f>
        <v/>
      </c>
    </row>
    <row r="86" spans="7:7" x14ac:dyDescent="0.2">
      <c r="G86" t="str">
        <f>IF(A86="","",B86+C86+E86-D86-F86)</f>
        <v/>
      </c>
    </row>
    <row r="87" spans="7:7" x14ac:dyDescent="0.2">
      <c r="G87" t="str">
        <f>IF(A87="","",B87+C87+E87-D87-F87)</f>
        <v/>
      </c>
    </row>
    <row r="88" spans="7:7" x14ac:dyDescent="0.2">
      <c r="G88" t="str">
        <f>IF(A88="","",B88+C88+E88-D88-F88)</f>
        <v/>
      </c>
    </row>
    <row r="89" spans="7:7" x14ac:dyDescent="0.2">
      <c r="G89" t="str">
        <f>IF(A89="","",B89+C89+E89-D89-F89)</f>
        <v/>
      </c>
    </row>
    <row r="90" spans="7:7" x14ac:dyDescent="0.2">
      <c r="G90" t="str">
        <f>IF(A90="","",B90+C90+E90-D90-F90)</f>
        <v/>
      </c>
    </row>
    <row r="91" spans="7:7" x14ac:dyDescent="0.2">
      <c r="G91" t="str">
        <f>IF(A91="","",B91+C91+E91-D91-F91)</f>
        <v/>
      </c>
    </row>
    <row r="92" spans="7:7" x14ac:dyDescent="0.2">
      <c r="G92" t="str">
        <f>IF(A92="","",B92+C92+E92-D92-F92)</f>
        <v/>
      </c>
    </row>
    <row r="93" spans="7:7" x14ac:dyDescent="0.2">
      <c r="G93" t="str">
        <f>IF(A93="","",B93+C93+E93-D93-F93)</f>
        <v/>
      </c>
    </row>
    <row r="94" spans="7:7" x14ac:dyDescent="0.2">
      <c r="G94" t="str">
        <f>IF(A94="","",B94+C94+E94-D94-F94)</f>
        <v/>
      </c>
    </row>
    <row r="95" spans="7:7" x14ac:dyDescent="0.2">
      <c r="G95" t="str">
        <f>IF(A95="","",B95+C95+E95-D95-F95)</f>
        <v/>
      </c>
    </row>
    <row r="96" spans="7:7" x14ac:dyDescent="0.2">
      <c r="G96" t="str">
        <f>IF(A96="","",B96+C96+E96-D96-F96)</f>
        <v/>
      </c>
    </row>
    <row r="97" spans="7:7" x14ac:dyDescent="0.2">
      <c r="G97" t="str">
        <f>IF(A97="","",B97+C97+E97-D97-F97)</f>
        <v/>
      </c>
    </row>
    <row r="98" spans="7:7" x14ac:dyDescent="0.2">
      <c r="G98" t="str">
        <f>IF(A98="","",B98+C98+E98-D98-F98)</f>
        <v/>
      </c>
    </row>
    <row r="99" spans="7:7" x14ac:dyDescent="0.2">
      <c r="G99" t="str">
        <f>IF(A99="","",B99+C99+E99-D99-F99)</f>
        <v/>
      </c>
    </row>
    <row r="100" spans="7:7" x14ac:dyDescent="0.2">
      <c r="G100" t="str">
        <f>IF(A100="","",B100+C100+E100-D100-F100)</f>
        <v/>
      </c>
    </row>
    <row r="101" spans="7:7" x14ac:dyDescent="0.2">
      <c r="G101" t="str">
        <f>IF(A101="","",B101+C101+E101-D101-F101)</f>
        <v/>
      </c>
    </row>
    <row r="102" spans="7:7" x14ac:dyDescent="0.2">
      <c r="G102" t="str">
        <f>IF(A102="","",B102+C102+E102-D102-F102)</f>
        <v/>
      </c>
    </row>
    <row r="103" spans="7:7" x14ac:dyDescent="0.2">
      <c r="G103" t="str">
        <f>IF(A103="","",B103+C103+E103-D103-F103)</f>
        <v/>
      </c>
    </row>
    <row r="104" spans="7:7" x14ac:dyDescent="0.2">
      <c r="G104" t="str">
        <f>IF(A104="","",B104+C104+E104-D104-F104)</f>
        <v/>
      </c>
    </row>
    <row r="105" spans="7:7" x14ac:dyDescent="0.2">
      <c r="G105" t="str">
        <f>IF(A105="","",B105+C105+E105-D105-F105)</f>
        <v/>
      </c>
    </row>
    <row r="106" spans="7:7" x14ac:dyDescent="0.2">
      <c r="G106" t="str">
        <f>IF(A106="","",B106+C106+E106-D106-F106)</f>
        <v/>
      </c>
    </row>
    <row r="107" spans="7:7" x14ac:dyDescent="0.2">
      <c r="G107" t="str">
        <f>IF(A107="","",B107+C107+E107-D107-F107)</f>
        <v/>
      </c>
    </row>
    <row r="108" spans="7:7" x14ac:dyDescent="0.2">
      <c r="G108" t="str">
        <f>IF(A108="","",B108+C108+E108-D108-F108)</f>
        <v/>
      </c>
    </row>
    <row r="109" spans="7:7" x14ac:dyDescent="0.2">
      <c r="G109" t="str">
        <f>IF(A109="","",B109+C109+E109-D109-F109)</f>
        <v/>
      </c>
    </row>
    <row r="110" spans="7:7" x14ac:dyDescent="0.2">
      <c r="G110" t="str">
        <f>IF(A110="","",B110+C110+E110-D110-F110)</f>
        <v/>
      </c>
    </row>
    <row r="111" spans="7:7" x14ac:dyDescent="0.2">
      <c r="G111" t="str">
        <f>IF(A111="","",B111+C111+E111-D111-F111)</f>
        <v/>
      </c>
    </row>
    <row r="112" spans="7:7" x14ac:dyDescent="0.2">
      <c r="G112" t="str">
        <f>IF(A112="","",B112+C112+E112-D112-F112)</f>
        <v/>
      </c>
    </row>
    <row r="113" spans="7:7" x14ac:dyDescent="0.2">
      <c r="G113" t="str">
        <f>IF(A113="","",B113+C113+E113-D113-F113)</f>
        <v/>
      </c>
    </row>
    <row r="114" spans="7:7" x14ac:dyDescent="0.2">
      <c r="G114" t="str">
        <f>IF(A114="","",B114+C114+E114-D114-F114)</f>
        <v/>
      </c>
    </row>
    <row r="115" spans="7:7" x14ac:dyDescent="0.2">
      <c r="G115" t="str">
        <f>IF(A115="","",B115+C115+E115-D115-F115)</f>
        <v/>
      </c>
    </row>
    <row r="116" spans="7:7" x14ac:dyDescent="0.2">
      <c r="G116" t="str">
        <f>IF(A116="","",B116+C116+E116-D116-F116)</f>
        <v/>
      </c>
    </row>
    <row r="117" spans="7:7" x14ac:dyDescent="0.2">
      <c r="G117" t="str">
        <f>IF(A117="","",B117+C117+E117-D117-F117)</f>
        <v/>
      </c>
    </row>
    <row r="118" spans="7:7" x14ac:dyDescent="0.2">
      <c r="G118" t="str">
        <f>IF(A118="","",B118+C118+E118-D118-F118)</f>
        <v/>
      </c>
    </row>
    <row r="119" spans="7:7" x14ac:dyDescent="0.2">
      <c r="G119" t="str">
        <f>IF(A119="","",B119+C119+E119-D119-F119)</f>
        <v/>
      </c>
    </row>
    <row r="120" spans="7:7" x14ac:dyDescent="0.2">
      <c r="G120" t="str">
        <f>IF(A120="","",B120+C120+E120-D120-F120)</f>
        <v/>
      </c>
    </row>
    <row r="121" spans="7:7" x14ac:dyDescent="0.2">
      <c r="G121" t="str">
        <f>IF(A121="","",B121+C121+E121-D121-F121)</f>
        <v/>
      </c>
    </row>
    <row r="122" spans="7:7" x14ac:dyDescent="0.2">
      <c r="G122" t="str">
        <f>IF(A122="","",B122+C122+E122-D122-F122)</f>
        <v/>
      </c>
    </row>
    <row r="123" spans="7:7" x14ac:dyDescent="0.2">
      <c r="G123" t="str">
        <f>IF(A123="","",B123+C123+E123-D123-F123)</f>
        <v/>
      </c>
    </row>
    <row r="124" spans="7:7" x14ac:dyDescent="0.2">
      <c r="G124" t="str">
        <f>IF(A124="","",B124+C124+E124-D124-F124)</f>
        <v/>
      </c>
    </row>
    <row r="125" spans="7:7" x14ac:dyDescent="0.2">
      <c r="G125" t="str">
        <f>IF(A125="","",B125+C125+E125-D125-F125)</f>
        <v/>
      </c>
    </row>
    <row r="126" spans="7:7" x14ac:dyDescent="0.2">
      <c r="G126" t="str">
        <f>IF(A126="","",B126+C126+E126-D126-F126)</f>
        <v/>
      </c>
    </row>
    <row r="127" spans="7:7" x14ac:dyDescent="0.2">
      <c r="G127" t="str">
        <f>IF(A127="","",B127+C127+E127-D127-F127)</f>
        <v/>
      </c>
    </row>
    <row r="128" spans="7:7" x14ac:dyDescent="0.2">
      <c r="G128" t="str">
        <f>IF(A128="","",B128+C128+E128-D128-F128)</f>
        <v/>
      </c>
    </row>
    <row r="129" spans="7:7" x14ac:dyDescent="0.2">
      <c r="G129" t="str">
        <f>IF(A129="","",B129+C129+E129-D129-F129)</f>
        <v/>
      </c>
    </row>
    <row r="130" spans="7:7" x14ac:dyDescent="0.2">
      <c r="G130" t="str">
        <f>IF(A130="","",B130+C130+E130-D130-F130)</f>
        <v/>
      </c>
    </row>
    <row r="131" spans="7:7" x14ac:dyDescent="0.2">
      <c r="G131" t="str">
        <f>IF(A131="","",B131+C131+E131-D131-F131)</f>
        <v/>
      </c>
    </row>
    <row r="132" spans="7:7" x14ac:dyDescent="0.2">
      <c r="G132" t="str">
        <f>IF(A132="","",B132+C132+E132-D132-F132)</f>
        <v/>
      </c>
    </row>
    <row r="133" spans="7:7" x14ac:dyDescent="0.2">
      <c r="G133" t="str">
        <f>IF(A133="","",B133+C133+E133-D133-F133)</f>
        <v/>
      </c>
    </row>
    <row r="134" spans="7:7" x14ac:dyDescent="0.2">
      <c r="G134" t="str">
        <f>IF(A134="","",B134+C134+E134-D134-F134)</f>
        <v/>
      </c>
    </row>
    <row r="135" spans="7:7" x14ac:dyDescent="0.2">
      <c r="G135" t="str">
        <f>IF(A135="","",B135+C135+E135-D135-F135)</f>
        <v/>
      </c>
    </row>
    <row r="136" spans="7:7" x14ac:dyDescent="0.2">
      <c r="G136" t="str">
        <f>IF(A136="","",B136+C136+E136-D136-F136)</f>
        <v/>
      </c>
    </row>
    <row r="137" spans="7:7" x14ac:dyDescent="0.2">
      <c r="G137" t="str">
        <f>IF(A137="","",B137+C137+E137-D137-F137)</f>
        <v/>
      </c>
    </row>
    <row r="138" spans="7:7" x14ac:dyDescent="0.2">
      <c r="G138" t="str">
        <f>IF(A138="","",B138+C138+E138-D138-F138)</f>
        <v/>
      </c>
    </row>
    <row r="139" spans="7:7" x14ac:dyDescent="0.2">
      <c r="G139" t="str">
        <f>IF(A139="","",B139+C139+E139-D139-F139)</f>
        <v/>
      </c>
    </row>
    <row r="140" spans="7:7" x14ac:dyDescent="0.2">
      <c r="G140" t="str">
        <f>IF(A140="","",B140+C140+E140-D140-F140)</f>
        <v/>
      </c>
    </row>
    <row r="141" spans="7:7" x14ac:dyDescent="0.2">
      <c r="G141" t="str">
        <f>IF(A141="","",B141+C141+E141-D141-F141)</f>
        <v/>
      </c>
    </row>
    <row r="142" spans="7:7" x14ac:dyDescent="0.2">
      <c r="G142" t="str">
        <f>IF(A142="","",B142+C142+E142-D142-F142)</f>
        <v/>
      </c>
    </row>
    <row r="143" spans="7:7" x14ac:dyDescent="0.2">
      <c r="G143" t="str">
        <f>IF(A143="","",B143+C143+E143-D143-F143)</f>
        <v/>
      </c>
    </row>
    <row r="144" spans="7:7" x14ac:dyDescent="0.2">
      <c r="G144" t="str">
        <f>IF(A144="","",B144+C144+E144-D144-F144)</f>
        <v/>
      </c>
    </row>
    <row r="145" spans="7:7" x14ac:dyDescent="0.2">
      <c r="G145" t="str">
        <f>IF(A145="","",B145+C145+E145-D145-F145)</f>
        <v/>
      </c>
    </row>
    <row r="146" spans="7:7" x14ac:dyDescent="0.2">
      <c r="G146" t="str">
        <f>IF(A146="","",B146+C146+E146-D146-F146)</f>
        <v/>
      </c>
    </row>
    <row r="147" spans="7:7" x14ac:dyDescent="0.2">
      <c r="G147" t="str">
        <f>IF(A147="","",B147+C147+E147-D147-F147)</f>
        <v/>
      </c>
    </row>
    <row r="148" spans="7:7" x14ac:dyDescent="0.2">
      <c r="G148" t="str">
        <f>IF(A148="","",B148+C148+E148-D148-F148)</f>
        <v/>
      </c>
    </row>
    <row r="149" spans="7:7" x14ac:dyDescent="0.2">
      <c r="G149" t="str">
        <f>IF(A149="","",B149+C149+E149-D149-F149)</f>
        <v/>
      </c>
    </row>
    <row r="150" spans="7:7" x14ac:dyDescent="0.2">
      <c r="G150" t="str">
        <f>IF(A150="","",B150+C150+E150-D150-F150)</f>
        <v/>
      </c>
    </row>
    <row r="151" spans="7:7" x14ac:dyDescent="0.2">
      <c r="G151" t="str">
        <f>IF(A151="","",B151+C151+E151-D151-F151)</f>
        <v/>
      </c>
    </row>
    <row r="152" spans="7:7" x14ac:dyDescent="0.2">
      <c r="G152" t="str">
        <f>IF(A152="","",B152+C152+E152-D152-F152)</f>
        <v/>
      </c>
    </row>
    <row r="153" spans="7:7" x14ac:dyDescent="0.2">
      <c r="G153" t="str">
        <f>IF(A153="","",B153+C153+E153-D153-F153)</f>
        <v/>
      </c>
    </row>
    <row r="154" spans="7:7" x14ac:dyDescent="0.2">
      <c r="G154" t="str">
        <f>IF(A154="","",B154+C154+E154-D154-F154)</f>
        <v/>
      </c>
    </row>
    <row r="155" spans="7:7" x14ac:dyDescent="0.2">
      <c r="G155" t="str">
        <f>IF(A155="","",B155+C155+E155-D155-F155)</f>
        <v/>
      </c>
    </row>
    <row r="156" spans="7:7" x14ac:dyDescent="0.2">
      <c r="G156" t="str">
        <f>IF(A156="","",B156+C156+E156-D156-F156)</f>
        <v/>
      </c>
    </row>
    <row r="157" spans="7:7" x14ac:dyDescent="0.2">
      <c r="G157" t="str">
        <f>IF(A157="","",B157+C157+E157-D157-F157)</f>
        <v/>
      </c>
    </row>
    <row r="158" spans="7:7" x14ac:dyDescent="0.2">
      <c r="G158" t="str">
        <f>IF(A158="","",B158+C158+E158-D158-F158)</f>
        <v/>
      </c>
    </row>
    <row r="159" spans="7:7" x14ac:dyDescent="0.2">
      <c r="G159" t="str">
        <f>IF(A159="","",B159+C159+E159-D159-F159)</f>
        <v/>
      </c>
    </row>
    <row r="160" spans="7:7" x14ac:dyDescent="0.2">
      <c r="G160" t="str">
        <f>IF(A160="","",B160+C160+E160-D160-F160)</f>
        <v/>
      </c>
    </row>
    <row r="161" spans="7:7" x14ac:dyDescent="0.2">
      <c r="G161" t="str">
        <f>IF(A161="","",B161+C161+E161-D161-F161)</f>
        <v/>
      </c>
    </row>
    <row r="162" spans="7:7" x14ac:dyDescent="0.2">
      <c r="G162" t="str">
        <f>IF(A162="","",B162+C162+E162-D162-F162)</f>
        <v/>
      </c>
    </row>
    <row r="163" spans="7:7" x14ac:dyDescent="0.2">
      <c r="G163" t="str">
        <f>IF(A163="","",B163+C163+E163-D163-F163)</f>
        <v/>
      </c>
    </row>
    <row r="164" spans="7:7" x14ac:dyDescent="0.2">
      <c r="G164" t="str">
        <f>IF(A164="","",B164+C164+E164-D164-F164)</f>
        <v/>
      </c>
    </row>
    <row r="165" spans="7:7" x14ac:dyDescent="0.2">
      <c r="G165" t="str">
        <f>IF(A165="","",B165+C165+E165-D165-F165)</f>
        <v/>
      </c>
    </row>
    <row r="166" spans="7:7" x14ac:dyDescent="0.2">
      <c r="G166" t="str">
        <f>IF(A166="","",B166+C166+E166-D166-F166)</f>
        <v/>
      </c>
    </row>
    <row r="167" spans="7:7" x14ac:dyDescent="0.2">
      <c r="G167" t="str">
        <f>IF(A167="","",B167+C167+E167-D167-F167)</f>
        <v/>
      </c>
    </row>
    <row r="168" spans="7:7" x14ac:dyDescent="0.2">
      <c r="G168" t="str">
        <f>IF(A168="","",B168+C168+E168-D168-F168)</f>
        <v/>
      </c>
    </row>
    <row r="169" spans="7:7" x14ac:dyDescent="0.2">
      <c r="G169" t="str">
        <f>IF(A169="","",B169+C169+E169-D169-F169)</f>
        <v/>
      </c>
    </row>
    <row r="170" spans="7:7" x14ac:dyDescent="0.2">
      <c r="G170" t="str">
        <f>IF(A170="","",B170+C170+E170-D170-F170)</f>
        <v/>
      </c>
    </row>
    <row r="171" spans="7:7" x14ac:dyDescent="0.2">
      <c r="G171" t="str">
        <f>IF(A171="","",B171+C171+E171-D171-F171)</f>
        <v/>
      </c>
    </row>
    <row r="172" spans="7:7" x14ac:dyDescent="0.2">
      <c r="G172" t="str">
        <f>IF(A172="","",B172+C172+E172-D172-F172)</f>
        <v/>
      </c>
    </row>
    <row r="173" spans="7:7" x14ac:dyDescent="0.2">
      <c r="G173" t="str">
        <f>IF(A173="","",B173+C173+E173-D173-F173)</f>
        <v/>
      </c>
    </row>
    <row r="174" spans="7:7" x14ac:dyDescent="0.2">
      <c r="G174" t="str">
        <f>IF(A174="","",B174+C174+E174-D174-F174)</f>
        <v/>
      </c>
    </row>
    <row r="175" spans="7:7" x14ac:dyDescent="0.2">
      <c r="G175" t="str">
        <f>IF(A175="","",B175+C175+E175-D175-F175)</f>
        <v/>
      </c>
    </row>
    <row r="176" spans="7:7" x14ac:dyDescent="0.2">
      <c r="G176" t="str">
        <f>IF(A176="","",B176+C176+E176-D176-F176)</f>
        <v/>
      </c>
    </row>
    <row r="177" spans="7:7" x14ac:dyDescent="0.2">
      <c r="G177" t="str">
        <f>IF(A177="","",B177+C177+E177-D177-F177)</f>
        <v/>
      </c>
    </row>
    <row r="178" spans="7:7" x14ac:dyDescent="0.2">
      <c r="G178" t="str">
        <f>IF(A178="","",B178+C178+E178-D178-F178)</f>
        <v/>
      </c>
    </row>
    <row r="179" spans="7:7" x14ac:dyDescent="0.2">
      <c r="G179" t="str">
        <f>IF(A179="","",B179+C179+E179-D179-F179)</f>
        <v/>
      </c>
    </row>
    <row r="180" spans="7:7" x14ac:dyDescent="0.2">
      <c r="G180" t="str">
        <f>IF(A180="","",B180+C180+E180-D180-F180)</f>
        <v/>
      </c>
    </row>
    <row r="181" spans="7:7" x14ac:dyDescent="0.2">
      <c r="G181" t="str">
        <f>IF(A181="","",B181+C181+E181-D181-F181)</f>
        <v/>
      </c>
    </row>
    <row r="182" spans="7:7" x14ac:dyDescent="0.2">
      <c r="G182" t="str">
        <f>IF(A182="","",B182+C182+E182-D182-F182)</f>
        <v/>
      </c>
    </row>
    <row r="183" spans="7:7" x14ac:dyDescent="0.2">
      <c r="G183" t="str">
        <f>IF(A183="","",B183+C183+E183-D183-F183)</f>
        <v/>
      </c>
    </row>
    <row r="184" spans="7:7" x14ac:dyDescent="0.2">
      <c r="G184" t="str">
        <f>IF(A184="","",B184+C184+E184-D184-F184)</f>
        <v/>
      </c>
    </row>
    <row r="185" spans="7:7" x14ac:dyDescent="0.2">
      <c r="G185" t="str">
        <f>IF(A185="","",B185+C185+E185-D185-F185)</f>
        <v/>
      </c>
    </row>
    <row r="186" spans="7:7" x14ac:dyDescent="0.2">
      <c r="G186" t="str">
        <f>IF(A186="","",B186+C186+E186-D186-F186)</f>
        <v/>
      </c>
    </row>
    <row r="187" spans="7:7" x14ac:dyDescent="0.2">
      <c r="G187" t="str">
        <f>IF(A187="","",B187+C187+E187-D187-F187)</f>
        <v/>
      </c>
    </row>
    <row r="188" spans="7:7" x14ac:dyDescent="0.2">
      <c r="G188" t="str">
        <f>IF(A188="","",B188+C188+E188-D188-F188)</f>
        <v/>
      </c>
    </row>
    <row r="189" spans="7:7" x14ac:dyDescent="0.2">
      <c r="G189" t="str">
        <f>IF(A189="","",B189+C189+E189-D189-F189)</f>
        <v/>
      </c>
    </row>
    <row r="190" spans="7:7" x14ac:dyDescent="0.2">
      <c r="G190" t="str">
        <f>IF(A190="","",B190+C190+E190-D190-F190)</f>
        <v/>
      </c>
    </row>
    <row r="191" spans="7:7" x14ac:dyDescent="0.2">
      <c r="G191" t="str">
        <f>IF(A191="","",B191+C191+E191-D191-F191)</f>
        <v/>
      </c>
    </row>
    <row r="192" spans="7:7" x14ac:dyDescent="0.2">
      <c r="G192" t="str">
        <f>IF(A192="","",B192+C192+E192-D192-F192)</f>
        <v/>
      </c>
    </row>
    <row r="193" spans="7:7" x14ac:dyDescent="0.2">
      <c r="G193" t="str">
        <f>IF(A193="","",B193+C193+E193-D193-F193)</f>
        <v/>
      </c>
    </row>
    <row r="194" spans="7:7" x14ac:dyDescent="0.2">
      <c r="G194" t="str">
        <f>IF(A194="","",B194+C194+E194-D194-F194)</f>
        <v/>
      </c>
    </row>
    <row r="195" spans="7:7" x14ac:dyDescent="0.2">
      <c r="G195" t="str">
        <f>IF(A195="","",B195+C195+E195-D195-F195)</f>
        <v/>
      </c>
    </row>
    <row r="196" spans="7:7" x14ac:dyDescent="0.2">
      <c r="G196" t="str">
        <f>IF(A196="","",B196+C196+E196-D196-F196)</f>
        <v/>
      </c>
    </row>
    <row r="197" spans="7:7" x14ac:dyDescent="0.2">
      <c r="G197" t="str">
        <f>IF(A197="","",B197+C197+E197-D197-F197)</f>
        <v/>
      </c>
    </row>
    <row r="198" spans="7:7" x14ac:dyDescent="0.2">
      <c r="G198" t="str">
        <f>IF(A198="","",B198+C198+E198-D198-F198)</f>
        <v/>
      </c>
    </row>
    <row r="199" spans="7:7" x14ac:dyDescent="0.2">
      <c r="G199" t="str">
        <f>IF(A199="","",B199+C199+E199-D199-F199)</f>
        <v/>
      </c>
    </row>
    <row r="200" spans="7:7" x14ac:dyDescent="0.2">
      <c r="G200" t="str">
        <f>IF(A200="","",B200+C200+E200-D200-F200)</f>
        <v/>
      </c>
    </row>
    <row r="201" spans="7:7" x14ac:dyDescent="0.2">
      <c r="G201" t="str">
        <f>IF(A201="","",B201+C201+E201-D201-F201)</f>
        <v/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Dashboard</vt:lpstr>
      <vt:lpstr>Ingredients In(Purchases)</vt:lpstr>
      <vt:lpstr>Ingredients Used</vt:lpstr>
      <vt:lpstr>Production</vt:lpstr>
      <vt:lpstr>Sales</vt:lpstr>
      <vt:lpstr>Cake Balance</vt:lpstr>
      <vt:lpstr>Ingredients Balances</vt:lpstr>
      <vt:lpstr>Worker Production</vt:lpstr>
      <vt:lpstr>Sales Returns</vt:lpstr>
      <vt:lpstr>Sales Damages</vt:lpstr>
      <vt:lpstr>Customer Management</vt:lpstr>
      <vt:lpstr>Daily Profit</vt:lpstr>
      <vt:lpstr>Inventory Summary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HRM</cp:lastModifiedBy>
  <dcterms:created xsi:type="dcterms:W3CDTF">2026-08-18T08:48:00Z</dcterms:created>
  <dcterms:modified xsi:type="dcterms:W3CDTF">2026-09-19T14:32:09Z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AFBD44F52F7D4499AF5A33EB83013A45_12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